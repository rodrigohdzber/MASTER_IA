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5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058374\Desktop\MIAX\"/>
    </mc:Choice>
  </mc:AlternateContent>
  <bookViews>
    <workbookView xWindow="0" yWindow="0" windowWidth="19200" windowHeight="7310" activeTab="1"/>
  </bookViews>
  <sheets>
    <sheet name="ESTER" sheetId="1" r:id="rId1"/>
    <sheet name="Euribor 6M" sheetId="2" r:id="rId2"/>
    <sheet name="Validación" sheetId="3" r:id="rId3"/>
    <sheet name="Curvas_antiguas" sheetId="4" r:id="rId4"/>
    <sheet name="Implicitos mas 1 años" sheetId="5" r:id="rId5"/>
    <sheet name="Implicitos a menos de 1 año" sheetId="6" r:id="rId6"/>
  </sheets>
  <functionGroups builtInGroupCount="18"/>
  <definedNames>
    <definedName name="_xlnm.Print_Area" localSheetId="1">'Euribor 6M'!$B$7:$H$31</definedName>
    <definedName name="solver_adj" localSheetId="0" hidden="1">ESTER!$T$20</definedName>
    <definedName name="solver_adj" localSheetId="1" hidden="1">'Euribor 6M'!$S$8</definedName>
    <definedName name="solver_cvg" localSheetId="0" hidden="1">0.0001</definedName>
    <definedName name="solver_cvg" localSheetId="1" hidden="1">0.0001</definedName>
    <definedName name="solver_drv" localSheetId="0" hidden="1">2</definedName>
    <definedName name="solver_drv" localSheetId="1" hidden="1">2</definedName>
    <definedName name="solver_eng" localSheetId="0" hidden="1">2</definedName>
    <definedName name="solver_eng" localSheetId="1" hidden="1">2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ESTER!$X$15</definedName>
    <definedName name="solver_opt" localSheetId="1" hidden="1">'Euribor 6M'!$R$8</definedName>
    <definedName name="solver_pre" localSheetId="0" hidden="1">0.000001</definedName>
    <definedName name="solver_pre" localSheetId="1" hidden="1">0.000001</definedName>
    <definedName name="solver_rbv" localSheetId="0" hidden="1">2</definedName>
    <definedName name="solver_rbv" localSheetId="1" hidden="1">2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1" i="2" l="1"/>
  <c r="U8" i="2"/>
  <c r="T8" i="2"/>
  <c r="O15" i="2"/>
  <c r="O14" i="2"/>
  <c r="O13" i="2"/>
  <c r="O12" i="2"/>
  <c r="O11" i="2"/>
  <c r="O10" i="2"/>
  <c r="O9" i="2"/>
  <c r="AF4" i="2"/>
  <c r="D21" i="3"/>
  <c r="D19" i="3"/>
  <c r="D17" i="3"/>
  <c r="D15" i="3"/>
  <c r="D13" i="3"/>
  <c r="E12" i="3"/>
  <c r="E13" i="3"/>
  <c r="E14" i="3"/>
  <c r="E15" i="3"/>
  <c r="E16" i="3"/>
  <c r="E17" i="3"/>
  <c r="E18" i="3"/>
  <c r="E19" i="3"/>
  <c r="E20" i="3"/>
  <c r="E21" i="3"/>
  <c r="Q32" i="2"/>
  <c r="Q33" i="2"/>
  <c r="Q34" i="2"/>
  <c r="Q35" i="2"/>
  <c r="Q36" i="2"/>
  <c r="Q37" i="2"/>
  <c r="Q38" i="2"/>
  <c r="Q39" i="2"/>
  <c r="Q40" i="2"/>
  <c r="Q41" i="2"/>
  <c r="P41" i="2"/>
  <c r="P39" i="2"/>
  <c r="P37" i="2"/>
  <c r="P35" i="2"/>
  <c r="P33" i="2"/>
  <c r="O32" i="2"/>
  <c r="O33" i="2"/>
  <c r="O34" i="2"/>
  <c r="O35" i="2"/>
  <c r="O36" i="2"/>
  <c r="O37" i="2"/>
  <c r="O38" i="2"/>
  <c r="O39" i="2"/>
  <c r="O40" i="2"/>
  <c r="O41" i="2"/>
  <c r="P7" i="2"/>
  <c r="F4" i="2"/>
  <c r="F5" i="2"/>
  <c r="F6" i="2"/>
  <c r="F7" i="2"/>
  <c r="F8" i="2"/>
  <c r="F9" i="2"/>
  <c r="F10" i="2"/>
  <c r="F11" i="2"/>
  <c r="F12" i="2"/>
  <c r="F13" i="2"/>
  <c r="F14" i="2"/>
  <c r="F15" i="2"/>
  <c r="V15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Q16" i="1"/>
  <c r="Q17" i="1"/>
  <c r="Q18" i="1"/>
  <c r="Q19" i="1"/>
  <c r="Q20" i="1"/>
  <c r="R17" i="1"/>
  <c r="R18" i="1"/>
  <c r="R19" i="1"/>
  <c r="R20" i="1"/>
  <c r="R16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S41" i="2"/>
  <c r="S39" i="2"/>
  <c r="S37" i="2"/>
  <c r="S35" i="2"/>
  <c r="S33" i="2"/>
  <c r="T41" i="2"/>
  <c r="T40" i="2"/>
  <c r="T39" i="2"/>
  <c r="T38" i="2"/>
  <c r="T37" i="2"/>
  <c r="T36" i="2"/>
  <c r="T35" i="2"/>
  <c r="T34" i="2"/>
  <c r="T33" i="2"/>
  <c r="T32" i="2"/>
  <c r="U9" i="2"/>
  <c r="U10" i="2"/>
  <c r="U11" i="2"/>
  <c r="U12" i="2"/>
  <c r="U13" i="2"/>
  <c r="U14" i="2"/>
  <c r="U15" i="2"/>
  <c r="T10" i="2"/>
  <c r="T11" i="2"/>
  <c r="T12" i="2"/>
  <c r="T13" i="2"/>
  <c r="T14" i="2"/>
  <c r="T15" i="2"/>
  <c r="T9" i="2"/>
  <c r="R15" i="2"/>
  <c r="R14" i="2"/>
  <c r="R13" i="2"/>
  <c r="R12" i="2"/>
  <c r="R11" i="2"/>
  <c r="R10" i="2"/>
  <c r="R9" i="2"/>
  <c r="H27" i="1"/>
  <c r="H26" i="1"/>
  <c r="H25" i="1"/>
  <c r="U20" i="1"/>
  <c r="U19" i="1"/>
  <c r="U18" i="1"/>
  <c r="U17" i="1"/>
  <c r="U31" i="2" l="1"/>
  <c r="S9" i="2"/>
  <c r="I27" i="1"/>
  <c r="I26" i="1"/>
  <c r="I25" i="1"/>
  <c r="G4" i="1" l="1"/>
  <c r="E4" i="1"/>
  <c r="E5" i="1"/>
  <c r="E6" i="1"/>
  <c r="E7" i="1"/>
  <c r="E8" i="1"/>
  <c r="G24" i="1"/>
  <c r="G25" i="1"/>
  <c r="G26" i="1"/>
  <c r="G27" i="1"/>
  <c r="N11" i="1"/>
  <c r="N10" i="1"/>
  <c r="O16" i="1"/>
  <c r="P28" i="4"/>
  <c r="P27" i="4"/>
  <c r="P26" i="4"/>
  <c r="P25" i="4"/>
  <c r="E21" i="6"/>
  <c r="F21" i="6" s="1"/>
  <c r="E20" i="6"/>
  <c r="F20" i="6" s="1"/>
  <c r="E18" i="6"/>
  <c r="F18" i="6" s="1"/>
  <c r="G18" i="6" s="1"/>
  <c r="H18" i="6" s="1"/>
  <c r="E17" i="6"/>
  <c r="F17" i="6" s="1"/>
  <c r="E15" i="6"/>
  <c r="F15" i="6" s="1"/>
  <c r="G15" i="6" s="1"/>
  <c r="H15" i="6" s="1"/>
  <c r="E14" i="6"/>
  <c r="F14" i="6"/>
  <c r="E20" i="5"/>
  <c r="H20" i="5" s="1"/>
  <c r="E19" i="5"/>
  <c r="E17" i="5"/>
  <c r="H17" i="5" s="1"/>
  <c r="E16" i="5"/>
  <c r="F16" i="5"/>
  <c r="H14" i="5"/>
  <c r="E14" i="5"/>
  <c r="F14" i="5" s="1"/>
  <c r="G14" i="5" s="1"/>
  <c r="I14" i="5" s="1"/>
  <c r="E13" i="5"/>
  <c r="F13" i="5" s="1"/>
  <c r="F17" i="5"/>
  <c r="G17" i="5" s="1"/>
  <c r="F19" i="5"/>
  <c r="C8" i="3"/>
  <c r="AE4" i="2"/>
  <c r="H12" i="2"/>
  <c r="H13" i="2"/>
  <c r="H14" i="2"/>
  <c r="H15" i="2"/>
  <c r="K34" i="2"/>
  <c r="K35" i="2"/>
  <c r="N32" i="2"/>
  <c r="M32" i="2"/>
  <c r="M39" i="2" s="1"/>
  <c r="O8" i="2"/>
  <c r="AE5" i="2" s="1"/>
  <c r="N8" i="2"/>
  <c r="N10" i="2" s="1"/>
  <c r="N12" i="2"/>
  <c r="N13" i="2"/>
  <c r="M7" i="2"/>
  <c r="M10" i="2" s="1"/>
  <c r="P16" i="1"/>
  <c r="O17" i="1" s="1"/>
  <c r="A27" i="1"/>
  <c r="P20" i="1"/>
  <c r="A26" i="1"/>
  <c r="P19" i="1"/>
  <c r="O20" i="1" s="1"/>
  <c r="A25" i="1"/>
  <c r="A24" i="1"/>
  <c r="P17" i="1"/>
  <c r="O18" i="1" s="1"/>
  <c r="B15" i="2"/>
  <c r="B14" i="2"/>
  <c r="B13" i="2"/>
  <c r="B12" i="2"/>
  <c r="D4" i="1"/>
  <c r="K36" i="2"/>
  <c r="K37" i="2" s="1"/>
  <c r="K38" i="2" s="1"/>
  <c r="K39" i="2" s="1"/>
  <c r="K40" i="2" s="1"/>
  <c r="K41" i="2" s="1"/>
  <c r="N15" i="2"/>
  <c r="B12" i="3"/>
  <c r="O7" i="2"/>
  <c r="B11" i="3" s="1"/>
  <c r="M38" i="2"/>
  <c r="M13" i="2"/>
  <c r="M14" i="2"/>
  <c r="M8" i="2"/>
  <c r="S16" i="1"/>
  <c r="S14" i="4"/>
  <c r="R26" i="4"/>
  <c r="R21" i="4"/>
  <c r="S27" i="4"/>
  <c r="T19" i="4"/>
  <c r="S20" i="4"/>
  <c r="T8" i="4"/>
  <c r="R9" i="4"/>
  <c r="T21" i="4"/>
  <c r="S11" i="4"/>
  <c r="R24" i="4"/>
  <c r="R27" i="4"/>
  <c r="T7" i="4"/>
  <c r="R8" i="4"/>
  <c r="R25" i="4"/>
  <c r="S18" i="4"/>
  <c r="T6" i="4"/>
  <c r="R5" i="4"/>
  <c r="R14" i="4"/>
  <c r="T23" i="4"/>
  <c r="S24" i="4"/>
  <c r="T12" i="4"/>
  <c r="S9" i="4"/>
  <c r="T25" i="4"/>
  <c r="R12" i="4"/>
  <c r="S17" i="4"/>
  <c r="T5" i="4"/>
  <c r="S15" i="4"/>
  <c r="T9" i="4"/>
  <c r="T17" i="4"/>
  <c r="S22" i="4"/>
  <c r="T10" i="4"/>
  <c r="R7" i="4"/>
  <c r="R22" i="4"/>
  <c r="T27" i="4"/>
  <c r="S28" i="4"/>
  <c r="T16" i="4"/>
  <c r="R10" i="4"/>
  <c r="R11" i="4"/>
  <c r="T18" i="4"/>
  <c r="T24" i="4"/>
  <c r="T22" i="4"/>
  <c r="S8" i="4"/>
  <c r="S21" i="4"/>
  <c r="S26" i="4"/>
  <c r="T14" i="4"/>
  <c r="S7" i="4"/>
  <c r="R6" i="4"/>
  <c r="R15" i="4"/>
  <c r="R16" i="4"/>
  <c r="T20" i="4"/>
  <c r="S5" i="4"/>
  <c r="R19" i="4"/>
  <c r="S25" i="4"/>
  <c r="R20" i="4"/>
  <c r="T28" i="4"/>
  <c r="S6" i="4"/>
  <c r="R28" i="4"/>
  <c r="T26" i="4"/>
  <c r="S19" i="4"/>
  <c r="T11" i="4"/>
  <c r="S12" i="4"/>
  <c r="S13" i="4"/>
  <c r="R17" i="4"/>
  <c r="T13" i="4"/>
  <c r="S10" i="4"/>
  <c r="R23" i="4"/>
  <c r="R13" i="4"/>
  <c r="S23" i="4"/>
  <c r="T15" i="4"/>
  <c r="S16" i="4"/>
  <c r="R18" i="4"/>
  <c r="AE12" i="2" l="1"/>
  <c r="AE7" i="2"/>
  <c r="AE9" i="2"/>
  <c r="C21" i="3"/>
  <c r="AE10" i="2"/>
  <c r="P13" i="2"/>
  <c r="Q13" i="2" s="1"/>
  <c r="Y37" i="2"/>
  <c r="P8" i="2"/>
  <c r="Q8" i="2" s="1"/>
  <c r="C14" i="3"/>
  <c r="P9" i="2"/>
  <c r="P15" i="2"/>
  <c r="Y38" i="2"/>
  <c r="Y36" i="2"/>
  <c r="P14" i="2"/>
  <c r="Y33" i="2" s="1"/>
  <c r="P10" i="2"/>
  <c r="Q10" i="2" s="1"/>
  <c r="P11" i="2"/>
  <c r="AF8" i="2" s="1"/>
  <c r="Y35" i="2"/>
  <c r="P12" i="2"/>
  <c r="Q12" i="2" s="1"/>
  <c r="N14" i="2"/>
  <c r="N9" i="2"/>
  <c r="N11" i="2"/>
  <c r="Y31" i="2"/>
  <c r="M35" i="2"/>
  <c r="M11" i="2"/>
  <c r="M12" i="2"/>
  <c r="G5" i="1"/>
  <c r="G23" i="1"/>
  <c r="G15" i="1"/>
  <c r="G7" i="1"/>
  <c r="G22" i="1"/>
  <c r="G14" i="1"/>
  <c r="G21" i="1"/>
  <c r="G13" i="1"/>
  <c r="G20" i="1"/>
  <c r="G12" i="1"/>
  <c r="G19" i="1"/>
  <c r="G11" i="1"/>
  <c r="P18" i="1"/>
  <c r="O19" i="1" s="1"/>
  <c r="G18" i="1"/>
  <c r="G10" i="1"/>
  <c r="G17" i="1"/>
  <c r="G9" i="1"/>
  <c r="G16" i="1"/>
  <c r="G8" i="1"/>
  <c r="G6" i="1"/>
  <c r="Q15" i="2"/>
  <c r="M15" i="2"/>
  <c r="M9" i="2"/>
  <c r="M33" i="2"/>
  <c r="M36" i="2"/>
  <c r="N35" i="2"/>
  <c r="T16" i="1"/>
  <c r="AF11" i="2"/>
  <c r="AF19" i="2"/>
  <c r="AF12" i="2"/>
  <c r="AF9" i="2"/>
  <c r="Y34" i="2"/>
  <c r="G21" i="6"/>
  <c r="H21" i="6" s="1"/>
  <c r="Q9" i="2"/>
  <c r="AF6" i="2"/>
  <c r="I17" i="5"/>
  <c r="AF10" i="2"/>
  <c r="F20" i="5"/>
  <c r="G20" i="5" s="1"/>
  <c r="I20" i="5" s="1"/>
  <c r="M37" i="2"/>
  <c r="M41" i="2"/>
  <c r="M34" i="2"/>
  <c r="C11" i="3"/>
  <c r="M40" i="2"/>
  <c r="H24" i="1"/>
  <c r="U16" i="1"/>
  <c r="R32" i="2"/>
  <c r="Q14" i="2" l="1"/>
  <c r="Q11" i="2"/>
  <c r="Y32" i="2"/>
  <c r="C12" i="3"/>
  <c r="N33" i="2"/>
  <c r="AF14" i="2"/>
  <c r="N37" i="2"/>
  <c r="AE15" i="2" s="1"/>
  <c r="C16" i="3"/>
  <c r="N34" i="2"/>
  <c r="C13" i="3"/>
  <c r="N40" i="2"/>
  <c r="AF17" i="2"/>
  <c r="C19" i="3"/>
  <c r="AE8" i="2"/>
  <c r="C15" i="3"/>
  <c r="AF13" i="2"/>
  <c r="N36" i="2"/>
  <c r="AE14" i="2" s="1"/>
  <c r="C17" i="3"/>
  <c r="N38" i="2"/>
  <c r="AE16" i="2" s="1"/>
  <c r="AF15" i="2"/>
  <c r="AE6" i="2"/>
  <c r="AE11" i="2"/>
  <c r="N41" i="2"/>
  <c r="AF18" i="2"/>
  <c r="C20" i="3"/>
  <c r="C18" i="3"/>
  <c r="N39" i="2"/>
  <c r="AF16" i="2"/>
  <c r="S8" i="2"/>
  <c r="B15" i="3"/>
  <c r="AF7" i="2"/>
  <c r="AF5" i="2"/>
  <c r="I24" i="1"/>
  <c r="W15" i="1"/>
  <c r="AE13" i="2"/>
  <c r="B18" i="3"/>
  <c r="H4" i="2"/>
  <c r="F12" i="3"/>
  <c r="I18" i="3"/>
  <c r="F18" i="3"/>
  <c r="F21" i="3"/>
  <c r="F20" i="3"/>
  <c r="F15" i="3"/>
  <c r="R41" i="2"/>
  <c r="R34" i="2"/>
  <c r="R37" i="2"/>
  <c r="R33" i="2"/>
  <c r="R35" i="2"/>
  <c r="R36" i="2"/>
  <c r="R38" i="2"/>
  <c r="R40" i="2"/>
  <c r="R39" i="2"/>
  <c r="F16" i="3"/>
  <c r="F17" i="3"/>
  <c r="F19" i="3"/>
  <c r="F14" i="3"/>
  <c r="F13" i="3"/>
  <c r="AG15" i="2"/>
  <c r="AG14" i="2"/>
  <c r="AG16" i="2"/>
  <c r="I12" i="3"/>
  <c r="AG18" i="2"/>
  <c r="AG19" i="2"/>
  <c r="AG17" i="2"/>
  <c r="AG5" i="2"/>
  <c r="B16" i="3" l="1"/>
  <c r="T7" i="2"/>
  <c r="B14" i="3"/>
  <c r="B21" i="3"/>
  <c r="AE19" i="2"/>
  <c r="B13" i="3"/>
  <c r="R8" i="2"/>
  <c r="B17" i="3"/>
  <c r="AE17" i="2"/>
  <c r="B19" i="3"/>
  <c r="B20" i="3"/>
  <c r="AE18" i="2"/>
  <c r="AH5" i="2"/>
  <c r="AH17" i="2"/>
  <c r="AH19" i="2"/>
  <c r="AH18" i="2"/>
  <c r="AH16" i="2"/>
  <c r="AH14" i="2"/>
  <c r="AH15" i="2"/>
  <c r="X15" i="1"/>
  <c r="G13" i="3"/>
  <c r="S15" i="2"/>
  <c r="S13" i="2"/>
  <c r="S14" i="2"/>
  <c r="S10" i="2"/>
  <c r="S11" i="2"/>
  <c r="S12" i="2"/>
  <c r="H10" i="2"/>
  <c r="H11" i="2"/>
  <c r="H8" i="2"/>
  <c r="H7" i="2"/>
  <c r="AG4" i="2"/>
  <c r="H5" i="2"/>
  <c r="H6" i="2"/>
  <c r="H9" i="2"/>
  <c r="H18" i="3"/>
  <c r="H12" i="3"/>
  <c r="I21" i="3"/>
  <c r="I20" i="3"/>
  <c r="Z31" i="2"/>
  <c r="Z34" i="2"/>
  <c r="Z33" i="2"/>
  <c r="Z32" i="2"/>
  <c r="AI19" i="2"/>
  <c r="AI17" i="2"/>
  <c r="AI18" i="2"/>
  <c r="I19" i="3"/>
  <c r="AI16" i="2"/>
  <c r="AI5" i="2"/>
  <c r="I17" i="3"/>
  <c r="AG9" i="2"/>
  <c r="AG12" i="2"/>
  <c r="AG11" i="2"/>
  <c r="AG10" i="2"/>
  <c r="I16" i="3"/>
  <c r="AG7" i="2"/>
  <c r="I15" i="3"/>
  <c r="AG6" i="2"/>
  <c r="I13" i="3"/>
  <c r="AG13" i="2"/>
  <c r="I14" i="3"/>
  <c r="AG8" i="2"/>
  <c r="H15" i="3"/>
  <c r="H13" i="3"/>
  <c r="H16" i="3"/>
  <c r="AI14" i="2"/>
  <c r="AI13" i="2"/>
  <c r="AI12" i="2"/>
  <c r="AI15" i="2"/>
  <c r="AI10" i="2"/>
  <c r="AI11" i="2"/>
  <c r="AI7" i="2"/>
  <c r="AI6" i="2"/>
  <c r="AI8" i="2"/>
  <c r="AI9" i="2"/>
  <c r="W31" i="2" l="1"/>
  <c r="G17" i="3"/>
  <c r="G19" i="3"/>
  <c r="AH8" i="2"/>
  <c r="AH13" i="2"/>
  <c r="AH6" i="2"/>
  <c r="AH7" i="2"/>
  <c r="AH10" i="2"/>
  <c r="AH11" i="2"/>
  <c r="AH12" i="2"/>
  <c r="AH9" i="2"/>
  <c r="H21" i="3"/>
  <c r="H17" i="3"/>
  <c r="H14" i="3"/>
  <c r="H20" i="3"/>
  <c r="H19" i="3"/>
  <c r="H10" i="3" l="1"/>
  <c r="G15" i="3"/>
  <c r="G21" i="3"/>
  <c r="G10" i="3" l="1"/>
  <c r="H8" i="3" s="1"/>
</calcChain>
</file>

<file path=xl/sharedStrings.xml><?xml version="1.0" encoding="utf-8"?>
<sst xmlns="http://schemas.openxmlformats.org/spreadsheetml/2006/main" count="264" uniqueCount="100">
  <si>
    <t>TENOR</t>
  </si>
  <si>
    <t>CLOSE_DATE</t>
  </si>
  <si>
    <t>START_DATE</t>
  </si>
  <si>
    <t>MATURITY_DATE</t>
  </si>
  <si>
    <t>Par Rate</t>
  </si>
  <si>
    <t>DELTAT</t>
  </si>
  <si>
    <t>P(0, t)</t>
  </si>
  <si>
    <t>Zero Rate</t>
  </si>
  <si>
    <t>O/N</t>
  </si>
  <si>
    <t>T/N</t>
  </si>
  <si>
    <t>1W</t>
  </si>
  <si>
    <t>2W</t>
  </si>
  <si>
    <t>3W</t>
  </si>
  <si>
    <t>1M</t>
  </si>
  <si>
    <t>2M</t>
  </si>
  <si>
    <t>r(t,t+2d)</t>
  </si>
  <si>
    <t>3M</t>
  </si>
  <si>
    <t>P(t,t+2d)</t>
  </si>
  <si>
    <t>4M</t>
  </si>
  <si>
    <t>5M</t>
  </si>
  <si>
    <t>6M</t>
  </si>
  <si>
    <t>END_DATE</t>
  </si>
  <si>
    <t>T ACT/360</t>
  </si>
  <si>
    <t>T ACT/365</t>
  </si>
  <si>
    <t>ZERO RATES</t>
  </si>
  <si>
    <t>DF SOLVER</t>
  </si>
  <si>
    <t>DISCOUNTED FLOW</t>
  </si>
  <si>
    <t>RV</t>
  </si>
  <si>
    <t>RF</t>
  </si>
  <si>
    <t>NPV</t>
  </si>
  <si>
    <t>7M</t>
  </si>
  <si>
    <t>8M</t>
  </si>
  <si>
    <t>9M</t>
  </si>
  <si>
    <t>10M</t>
  </si>
  <si>
    <t>11M</t>
  </si>
  <si>
    <t>1Yr</t>
  </si>
  <si>
    <t>15M</t>
  </si>
  <si>
    <t>18M</t>
  </si>
  <si>
    <t>21M</t>
  </si>
  <si>
    <t>2Yr</t>
  </si>
  <si>
    <t>3Yr</t>
  </si>
  <si>
    <t>4Yr</t>
  </si>
  <si>
    <t>5Yr</t>
  </si>
  <si>
    <t>CLOSE_DATE +2</t>
  </si>
  <si>
    <t>DF</t>
  </si>
  <si>
    <t>INSTRUMENTO :</t>
  </si>
  <si>
    <t>IRS</t>
  </si>
  <si>
    <t>T 30/360</t>
  </si>
  <si>
    <t>DF OIS</t>
  </si>
  <si>
    <t>FLOWS RF</t>
  </si>
  <si>
    <t>FLOWS RV</t>
  </si>
  <si>
    <t>P(0,t)</t>
  </si>
  <si>
    <t>Forward</t>
  </si>
  <si>
    <t>FRA</t>
  </si>
  <si>
    <t>0x6</t>
  </si>
  <si>
    <t>6x12</t>
  </si>
  <si>
    <t>12x18</t>
  </si>
  <si>
    <t>Swap2</t>
  </si>
  <si>
    <t>Swap3</t>
  </si>
  <si>
    <t>Swap4</t>
  </si>
  <si>
    <t>Swap5</t>
  </si>
  <si>
    <t>ZR SOLVER</t>
  </si>
  <si>
    <t>Datos</t>
  </si>
  <si>
    <t>Construcción curva</t>
  </si>
  <si>
    <t>Formulario</t>
  </si>
  <si>
    <t>Curva forward</t>
  </si>
  <si>
    <t>TN</t>
  </si>
  <si>
    <t>2Yr + 6M</t>
  </si>
  <si>
    <t>3Yr + 6M</t>
  </si>
  <si>
    <t>4Yr + 6M</t>
  </si>
  <si>
    <t>Comprobación</t>
  </si>
  <si>
    <t>Para comprobar que los zero rates están bien calculados, comprobaremos que el valor de un Swap a 5 años es 0</t>
  </si>
  <si>
    <t>Tipor swap 5Yr</t>
  </si>
  <si>
    <t>ON</t>
  </si>
  <si>
    <t>12M</t>
  </si>
  <si>
    <t>2Y</t>
  </si>
  <si>
    <t>3Y</t>
  </si>
  <si>
    <t>4Y</t>
  </si>
  <si>
    <t>5Y</t>
  </si>
  <si>
    <t>13M</t>
  </si>
  <si>
    <t>14M</t>
  </si>
  <si>
    <t>16M</t>
  </si>
  <si>
    <t>17M</t>
  </si>
  <si>
    <t>Curvas Zero Rates antiguas</t>
  </si>
  <si>
    <t>EONIA</t>
  </si>
  <si>
    <t>EURIBOR 6M</t>
  </si>
  <si>
    <t>Plazo</t>
  </si>
  <si>
    <t>Días</t>
  </si>
  <si>
    <t>Tipos</t>
  </si>
  <si>
    <t>FA</t>
  </si>
  <si>
    <t>(1+r)^FA</t>
  </si>
  <si>
    <t>Cociente</t>
  </si>
  <si>
    <t>Cociente^FA-1</t>
  </si>
  <si>
    <t>Implicito</t>
  </si>
  <si>
    <t>I</t>
  </si>
  <si>
    <t>J</t>
  </si>
  <si>
    <t>1+r*FA</t>
  </si>
  <si>
    <t>Cociente -1</t>
  </si>
  <si>
    <t>Curvas Factor de descuento antiguas</t>
  </si>
  <si>
    <t>Spread EONIA vs €STER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</si>
</sst>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00000"/>
    <numFmt numFmtId="165" formatCode="0.00000000"/>
    <numFmt numFmtId="166" formatCode="#,##0\ &quot;€&quot;"/>
    <numFmt numFmtId="167" formatCode="0.00000000000000"/>
    <numFmt numFmtId="168" formatCode="0.0000000000"/>
    <numFmt numFmtId="169" formatCode="0.000000000000"/>
    <numFmt numFmtId="170" formatCode="0.0000000%"/>
    <numFmt numFmtId="171" formatCode="0.0000000"/>
    <numFmt numFmtId="172" formatCode="0.000%"/>
    <numFmt numFmtId="173" formatCode="0.0000"/>
    <numFmt numFmtId="174" formatCode="0.0000%"/>
    <numFmt numFmtId="175" formatCode="0.000"/>
    <numFmt numFmtId="176" formatCode="0.00000"/>
    <numFmt numFmtId="177" formatCode="0.000000"/>
    <numFmt numFmtId="178" formatCode="0.00000%"/>
  </numFmts>
  <fonts count="19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333399"/>
      <name val="Calibri"/>
      <family val="2"/>
    </font>
    <font>
      <sz val="11"/>
      <color rgb="FF000000"/>
      <name val="Calibri"/>
      <family val="2"/>
    </font>
    <font>
      <b/>
      <sz val="16"/>
      <color rgb="FF333399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rgb="FF0070C0"/>
      </right>
      <top/>
      <bottom style="medium">
        <color theme="4" tint="0.39997558519241921"/>
      </bottom>
      <diagonal/>
    </border>
    <border>
      <left/>
      <right style="thin">
        <color rgb="FF0070C0"/>
      </right>
      <top/>
      <bottom/>
      <diagonal/>
    </border>
    <border>
      <left/>
      <right/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medium">
        <color theme="4" tint="0.39997558519241921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/>
      <right style="thin">
        <color rgb="FF0070C0"/>
      </right>
      <top style="medium">
        <color theme="4" tint="0.39997558519241921"/>
      </top>
      <bottom/>
      <diagonal/>
    </border>
    <border>
      <left/>
      <right style="thin">
        <color rgb="FF0070C0"/>
      </right>
      <top style="thin">
        <color indexed="64"/>
      </top>
      <bottom/>
      <diagonal/>
    </border>
    <border>
      <left style="thin">
        <color rgb="FF0070C0"/>
      </left>
      <right style="thin">
        <color rgb="FF0070C0"/>
      </right>
      <top style="thin">
        <color indexed="64"/>
      </top>
      <bottom/>
      <diagonal/>
    </border>
    <border>
      <left style="thin">
        <color indexed="64"/>
      </left>
      <right style="thin">
        <color rgb="FF0070C0"/>
      </right>
      <top/>
      <bottom/>
      <diagonal/>
    </border>
    <border>
      <left/>
      <right style="thin">
        <color rgb="FF0070C0"/>
      </right>
      <top style="thin">
        <color rgb="FF0070C0"/>
      </top>
      <bottom style="medium">
        <color theme="4" tint="0.399975585192419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medium">
        <color theme="4" tint="0.39997558519241921"/>
      </bottom>
      <diagonal/>
    </border>
    <border>
      <left/>
      <right/>
      <top style="thin">
        <color rgb="FF0070C0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rgb="FF0070C0"/>
      </top>
      <bottom style="medium">
        <color theme="4" tint="0.39997558519241921"/>
      </bottom>
      <diagonal/>
    </border>
    <border>
      <left style="thin">
        <color rgb="FF0070C0"/>
      </left>
      <right style="thin">
        <color rgb="FF0070C0"/>
      </right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indexed="64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indexed="64"/>
      </left>
      <right style="thin">
        <color rgb="FF0070C0"/>
      </right>
      <top style="medium">
        <color theme="4" tint="0.39997558519241921"/>
      </top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medium">
        <color theme="4" tint="0.39997558519241921"/>
      </top>
      <bottom/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indexed="64"/>
      </bottom>
      <diagonal/>
    </border>
    <border>
      <left/>
      <right style="thin">
        <color rgb="FF0070C0"/>
      </right>
      <top style="thin">
        <color rgb="FF0070C0"/>
      </top>
      <bottom style="thin">
        <color indexed="64"/>
      </bottom>
      <diagonal/>
    </border>
    <border>
      <left/>
      <right/>
      <top/>
      <bottom style="thin">
        <color rgb="FF002060"/>
      </bottom>
      <diagonal/>
    </border>
    <border>
      <left/>
      <right style="thin">
        <color rgb="FF002060"/>
      </right>
      <top/>
      <bottom/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medium">
        <color theme="4" tint="0.39997558519241921"/>
      </top>
      <bottom/>
      <diagonal/>
    </border>
    <border>
      <left/>
      <right style="thin">
        <color rgb="FF002060"/>
      </right>
      <top/>
      <bottom style="thin">
        <color rgb="FF0070C0"/>
      </bottom>
      <diagonal/>
    </border>
    <border>
      <left style="thin">
        <color rgb="FF002060"/>
      </left>
      <right/>
      <top/>
      <bottom/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/>
      <top/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</borders>
  <cellStyleXfs count="8">
    <xf numFmtId="0" fontId="0" fillId="0" borderId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2" fillId="0" borderId="0"/>
    <xf numFmtId="0" fontId="4" fillId="6" borderId="8" applyNumberFormat="0" applyFont="0" applyAlignment="0" applyProtection="0"/>
    <xf numFmtId="9" fontId="4" fillId="0" borderId="0" applyFont="0" applyFill="0" applyBorder="0" applyAlignment="0" applyProtection="0"/>
    <xf numFmtId="0" fontId="6" fillId="0" borderId="9" applyNumberFormat="0" applyFill="0" applyAlignment="0" applyProtection="0"/>
  </cellStyleXfs>
  <cellXfs count="264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Alignment="1">
      <alignment horizontal="right"/>
    </xf>
    <xf numFmtId="165" fontId="0" fillId="0" borderId="0" xfId="0" applyNumberFormat="1"/>
    <xf numFmtId="1" fontId="0" fillId="0" borderId="0" xfId="0" applyNumberFormat="1"/>
    <xf numFmtId="166" fontId="0" fillId="0" borderId="0" xfId="0" applyNumberFormat="1"/>
    <xf numFmtId="0" fontId="0" fillId="0" borderId="1" xfId="0" applyBorder="1"/>
    <xf numFmtId="0" fontId="0" fillId="0" borderId="0" xfId="0" applyFill="1"/>
    <xf numFmtId="167" fontId="0" fillId="0" borderId="0" xfId="0" applyNumberFormat="1"/>
    <xf numFmtId="0" fontId="0" fillId="0" borderId="2" xfId="0" applyBorder="1"/>
    <xf numFmtId="164" fontId="0" fillId="0" borderId="0" xfId="0" applyNumberFormat="1"/>
    <xf numFmtId="164" fontId="0" fillId="0" borderId="3" xfId="0" applyNumberFormat="1" applyBorder="1"/>
    <xf numFmtId="14" fontId="0" fillId="0" borderId="0" xfId="0" applyNumberFormat="1" applyFill="1" applyBorder="1"/>
    <xf numFmtId="14" fontId="0" fillId="0" borderId="0" xfId="0" applyNumberFormat="1" applyBorder="1"/>
    <xf numFmtId="0" fontId="0" fillId="0" borderId="0" xfId="0" applyFill="1" applyBorder="1"/>
    <xf numFmtId="14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/>
    <xf numFmtId="2" fontId="0" fillId="0" borderId="0" xfId="0" applyNumberFormat="1"/>
    <xf numFmtId="0" fontId="1" fillId="0" borderId="0" xfId="0" applyFont="1" applyBorder="1" applyAlignment="1">
      <alignment horizontal="center"/>
    </xf>
    <xf numFmtId="14" fontId="0" fillId="0" borderId="0" xfId="0" applyNumberFormat="1"/>
    <xf numFmtId="168" fontId="0" fillId="0" borderId="0" xfId="0" applyNumberFormat="1"/>
    <xf numFmtId="14" fontId="0" fillId="0" borderId="0" xfId="0" applyNumberFormat="1" applyFill="1"/>
    <xf numFmtId="15" fontId="0" fillId="0" borderId="0" xfId="0" applyNumberFormat="1"/>
    <xf numFmtId="165" fontId="0" fillId="0" borderId="0" xfId="0" applyNumberFormat="1" applyBorder="1"/>
    <xf numFmtId="169" fontId="0" fillId="0" borderId="0" xfId="0" applyNumberFormat="1"/>
    <xf numFmtId="165" fontId="0" fillId="0" borderId="0" xfId="0" applyNumberFormat="1" applyFill="1"/>
    <xf numFmtId="165" fontId="0" fillId="0" borderId="0" xfId="0" applyNumberFormat="1" applyFill="1" applyBorder="1"/>
    <xf numFmtId="164" fontId="0" fillId="0" borderId="0" xfId="0" applyNumberFormat="1" applyFill="1" applyBorder="1"/>
    <xf numFmtId="0" fontId="8" fillId="0" borderId="0" xfId="0" applyFont="1" applyAlignment="1">
      <alignment horizontal="center"/>
    </xf>
    <xf numFmtId="14" fontId="0" fillId="0" borderId="0" xfId="0" applyNumberFormat="1" applyBorder="1" applyAlignment="1">
      <alignment horizontal="center"/>
    </xf>
    <xf numFmtId="169" fontId="0" fillId="0" borderId="0" xfId="0" applyNumberFormat="1" applyBorder="1"/>
    <xf numFmtId="170" fontId="4" fillId="0" borderId="0" xfId="6" applyNumberFormat="1" applyFont="1"/>
    <xf numFmtId="11" fontId="0" fillId="7" borderId="3" xfId="0" applyNumberFormat="1" applyFill="1" applyBorder="1"/>
    <xf numFmtId="1" fontId="0" fillId="0" borderId="0" xfId="0" applyNumberFormat="1" applyFill="1" applyBorder="1"/>
    <xf numFmtId="0" fontId="9" fillId="0" borderId="0" xfId="0" applyFont="1"/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6" fillId="0" borderId="9" xfId="7" applyBorder="1" applyAlignment="1">
      <alignment horizontal="center"/>
    </xf>
    <xf numFmtId="0" fontId="0" fillId="0" borderId="0" xfId="0" applyBorder="1" applyAlignment="1">
      <alignment horizontal="right"/>
    </xf>
    <xf numFmtId="0" fontId="11" fillId="8" borderId="0" xfId="0" applyFont="1" applyFill="1"/>
    <xf numFmtId="0" fontId="6" fillId="0" borderId="10" xfId="7" applyBorder="1" applyAlignment="1">
      <alignment horizontal="center"/>
    </xf>
    <xf numFmtId="0" fontId="6" fillId="0" borderId="10" xfId="7" applyFill="1" applyBorder="1" applyAlignment="1">
      <alignment horizontal="center"/>
    </xf>
    <xf numFmtId="0" fontId="0" fillId="0" borderId="11" xfId="0" applyFill="1" applyBorder="1"/>
    <xf numFmtId="0" fontId="0" fillId="0" borderId="12" xfId="0" applyFill="1" applyBorder="1"/>
    <xf numFmtId="0" fontId="6" fillId="0" borderId="13" xfId="7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14" fontId="0" fillId="9" borderId="0" xfId="0" applyNumberFormat="1" applyFill="1" applyBorder="1" applyAlignment="1">
      <alignment horizontal="center"/>
    </xf>
    <xf numFmtId="14" fontId="0" fillId="9" borderId="11" xfId="0" applyNumberFormat="1" applyFill="1" applyBorder="1" applyAlignment="1">
      <alignment horizontal="center"/>
    </xf>
    <xf numFmtId="172" fontId="4" fillId="9" borderId="11" xfId="6" applyNumberFormat="1" applyFont="1" applyFill="1" applyBorder="1" applyAlignment="1">
      <alignment horizontal="center"/>
    </xf>
    <xf numFmtId="172" fontId="4" fillId="9" borderId="14" xfId="6" applyNumberFormat="1" applyFont="1" applyFill="1" applyBorder="1" applyAlignment="1">
      <alignment horizontal="center"/>
    </xf>
    <xf numFmtId="0" fontId="12" fillId="10" borderId="11" xfId="0" applyFont="1" applyFill="1" applyBorder="1" applyAlignment="1">
      <alignment horizontal="center"/>
    </xf>
    <xf numFmtId="14" fontId="0" fillId="10" borderId="0" xfId="0" applyNumberFormat="1" applyFill="1" applyBorder="1" applyAlignment="1">
      <alignment horizontal="center"/>
    </xf>
    <xf numFmtId="14" fontId="0" fillId="10" borderId="11" xfId="0" applyNumberFormat="1" applyFill="1" applyBorder="1" applyAlignment="1">
      <alignment horizontal="center"/>
    </xf>
    <xf numFmtId="172" fontId="4" fillId="10" borderId="11" xfId="6" applyNumberFormat="1" applyFont="1" applyFill="1" applyBorder="1" applyAlignment="1">
      <alignment horizontal="center"/>
    </xf>
    <xf numFmtId="173" fontId="0" fillId="10" borderId="11" xfId="0" applyNumberFormat="1" applyFill="1" applyBorder="1" applyAlignment="1">
      <alignment horizontal="center"/>
    </xf>
    <xf numFmtId="172" fontId="4" fillId="10" borderId="14" xfId="6" applyNumberFormat="1" applyFont="1" applyFill="1" applyBorder="1" applyAlignment="1">
      <alignment horizontal="center"/>
    </xf>
    <xf numFmtId="0" fontId="12" fillId="11" borderId="11" xfId="0" applyFont="1" applyFill="1" applyBorder="1" applyAlignment="1">
      <alignment horizontal="center"/>
    </xf>
    <xf numFmtId="14" fontId="0" fillId="11" borderId="0" xfId="0" applyNumberFormat="1" applyFill="1" applyBorder="1" applyAlignment="1">
      <alignment horizontal="center"/>
    </xf>
    <xf numFmtId="14" fontId="0" fillId="11" borderId="11" xfId="0" applyNumberFormat="1" applyFill="1" applyBorder="1" applyAlignment="1">
      <alignment horizontal="center"/>
    </xf>
    <xf numFmtId="172" fontId="4" fillId="11" borderId="11" xfId="6" applyNumberFormat="1" applyFont="1" applyFill="1" applyBorder="1" applyAlignment="1">
      <alignment horizontal="center"/>
    </xf>
    <xf numFmtId="173" fontId="0" fillId="11" borderId="11" xfId="0" applyNumberFormat="1" applyFill="1" applyBorder="1" applyAlignment="1">
      <alignment horizontal="center"/>
    </xf>
    <xf numFmtId="172" fontId="4" fillId="11" borderId="14" xfId="6" applyNumberFormat="1" applyFont="1" applyFill="1" applyBorder="1" applyAlignment="1">
      <alignment horizontal="center"/>
    </xf>
    <xf numFmtId="0" fontId="12" fillId="12" borderId="15" xfId="0" applyFont="1" applyFill="1" applyBorder="1" applyAlignment="1">
      <alignment horizontal="center"/>
    </xf>
    <xf numFmtId="14" fontId="0" fillId="12" borderId="4" xfId="0" applyNumberFormat="1" applyFill="1" applyBorder="1" applyAlignment="1">
      <alignment horizontal="center"/>
    </xf>
    <xf numFmtId="14" fontId="0" fillId="12" borderId="16" xfId="0" applyNumberFormat="1" applyFill="1" applyBorder="1" applyAlignment="1">
      <alignment horizontal="center"/>
    </xf>
    <xf numFmtId="172" fontId="4" fillId="12" borderId="16" xfId="6" applyNumberFormat="1" applyFont="1" applyFill="1" applyBorder="1" applyAlignment="1">
      <alignment horizontal="center"/>
    </xf>
    <xf numFmtId="173" fontId="0" fillId="12" borderId="16" xfId="0" applyNumberFormat="1" applyFill="1" applyBorder="1" applyAlignment="1">
      <alignment horizontal="center"/>
    </xf>
    <xf numFmtId="172" fontId="4" fillId="12" borderId="17" xfId="6" applyNumberFormat="1" applyFont="1" applyFill="1" applyBorder="1" applyAlignment="1">
      <alignment horizontal="center"/>
    </xf>
    <xf numFmtId="0" fontId="12" fillId="13" borderId="11" xfId="0" applyFont="1" applyFill="1" applyBorder="1" applyAlignment="1">
      <alignment horizontal="center"/>
    </xf>
    <xf numFmtId="14" fontId="0" fillId="13" borderId="0" xfId="0" applyNumberFormat="1" applyFill="1" applyBorder="1" applyAlignment="1">
      <alignment horizontal="center"/>
    </xf>
    <xf numFmtId="14" fontId="0" fillId="13" borderId="11" xfId="0" applyNumberFormat="1" applyFill="1" applyBorder="1" applyAlignment="1">
      <alignment horizontal="center"/>
    </xf>
    <xf numFmtId="172" fontId="4" fillId="13" borderId="11" xfId="6" applyNumberFormat="1" applyFont="1" applyFill="1" applyBorder="1" applyAlignment="1">
      <alignment horizontal="center"/>
    </xf>
    <xf numFmtId="173" fontId="0" fillId="13" borderId="11" xfId="0" applyNumberFormat="1" applyFill="1" applyBorder="1" applyAlignment="1">
      <alignment horizontal="center"/>
    </xf>
    <xf numFmtId="172" fontId="4" fillId="13" borderId="14" xfId="6" applyNumberFormat="1" applyFont="1" applyFill="1" applyBorder="1" applyAlignment="1">
      <alignment horizontal="center"/>
    </xf>
    <xf numFmtId="173" fontId="0" fillId="9" borderId="0" xfId="0" applyNumberFormat="1" applyFill="1" applyBorder="1" applyAlignment="1">
      <alignment horizontal="center"/>
    </xf>
    <xf numFmtId="173" fontId="0" fillId="9" borderId="18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0" fontId="0" fillId="0" borderId="14" xfId="0" applyBorder="1"/>
    <xf numFmtId="14" fontId="0" fillId="0" borderId="14" xfId="0" applyNumberFormat="1" applyFill="1" applyBorder="1"/>
    <xf numFmtId="14" fontId="0" fillId="0" borderId="14" xfId="0" applyNumberFormat="1" applyBorder="1"/>
    <xf numFmtId="0" fontId="0" fillId="0" borderId="11" xfId="0" applyBorder="1"/>
    <xf numFmtId="14" fontId="0" fillId="0" borderId="11" xfId="0" applyNumberFormat="1" applyFill="1" applyBorder="1" applyAlignment="1">
      <alignment horizontal="right"/>
    </xf>
    <xf numFmtId="14" fontId="0" fillId="0" borderId="11" xfId="0" applyNumberFormat="1" applyBorder="1" applyAlignment="1">
      <alignment horizontal="right"/>
    </xf>
    <xf numFmtId="0" fontId="0" fillId="0" borderId="14" xfId="0" applyFill="1" applyBorder="1"/>
    <xf numFmtId="164" fontId="0" fillId="0" borderId="11" xfId="0" applyNumberFormat="1" applyFill="1" applyBorder="1"/>
    <xf numFmtId="164" fontId="0" fillId="9" borderId="11" xfId="0" applyNumberFormat="1" applyFill="1" applyBorder="1"/>
    <xf numFmtId="0" fontId="0" fillId="9" borderId="11" xfId="0" applyFill="1" applyBorder="1"/>
    <xf numFmtId="0" fontId="6" fillId="0" borderId="19" xfId="7" applyBorder="1" applyAlignment="1">
      <alignment horizontal="center"/>
    </xf>
    <xf numFmtId="0" fontId="6" fillId="0" borderId="20" xfId="7" applyBorder="1" applyAlignment="1">
      <alignment horizontal="center"/>
    </xf>
    <xf numFmtId="0" fontId="6" fillId="0" borderId="21" xfId="7" applyBorder="1" applyAlignment="1">
      <alignment horizontal="center"/>
    </xf>
    <xf numFmtId="0" fontId="6" fillId="0" borderId="22" xfId="7" applyBorder="1" applyAlignment="1">
      <alignment horizontal="center"/>
    </xf>
    <xf numFmtId="0" fontId="7" fillId="0" borderId="23" xfId="0" applyFont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15" xfId="0" applyBorder="1"/>
    <xf numFmtId="164" fontId="0" fillId="0" borderId="15" xfId="0" applyNumberFormat="1" applyBorder="1"/>
    <xf numFmtId="14" fontId="0" fillId="0" borderId="25" xfId="0" applyNumberFormat="1" applyBorder="1"/>
    <xf numFmtId="14" fontId="0" fillId="0" borderId="12" xfId="0" applyNumberFormat="1" applyBorder="1" applyAlignment="1">
      <alignment horizontal="center"/>
    </xf>
    <xf numFmtId="14" fontId="0" fillId="0" borderId="26" xfId="0" applyNumberFormat="1" applyBorder="1" applyAlignment="1">
      <alignment horizontal="right"/>
    </xf>
    <xf numFmtId="0" fontId="0" fillId="0" borderId="26" xfId="0" applyFill="1" applyBorder="1"/>
    <xf numFmtId="0" fontId="0" fillId="0" borderId="25" xfId="0" applyBorder="1"/>
    <xf numFmtId="0" fontId="0" fillId="0" borderId="26" xfId="0" applyBorder="1"/>
    <xf numFmtId="0" fontId="0" fillId="9" borderId="26" xfId="0" applyFill="1" applyBorder="1"/>
    <xf numFmtId="0" fontId="10" fillId="14" borderId="0" xfId="0" applyFont="1" applyFill="1"/>
    <xf numFmtId="0" fontId="0" fillId="14" borderId="0" xfId="0" applyFill="1"/>
    <xf numFmtId="0" fontId="7" fillId="0" borderId="14" xfId="0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5" xfId="0" applyBorder="1"/>
    <xf numFmtId="164" fontId="0" fillId="0" borderId="11" xfId="0" applyNumberFormat="1" applyFill="1" applyBorder="1" applyAlignment="1"/>
    <xf numFmtId="0" fontId="0" fillId="0" borderId="11" xfId="0" applyFill="1" applyBorder="1" applyAlignment="1"/>
    <xf numFmtId="2" fontId="0" fillId="0" borderId="12" xfId="0" applyNumberFormat="1" applyBorder="1"/>
    <xf numFmtId="14" fontId="0" fillId="0" borderId="27" xfId="0" applyNumberFormat="1" applyBorder="1"/>
    <xf numFmtId="14" fontId="0" fillId="0" borderId="12" xfId="0" applyNumberFormat="1" applyBorder="1"/>
    <xf numFmtId="14" fontId="0" fillId="0" borderId="12" xfId="0" applyNumberFormat="1" applyFill="1" applyBorder="1"/>
    <xf numFmtId="172" fontId="4" fillId="0" borderId="11" xfId="6" applyNumberFormat="1" applyFont="1" applyBorder="1"/>
    <xf numFmtId="172" fontId="4" fillId="0" borderId="26" xfId="6" applyNumberFormat="1" applyFont="1" applyBorder="1"/>
    <xf numFmtId="14" fontId="0" fillId="0" borderId="15" xfId="0" applyNumberFormat="1" applyBorder="1"/>
    <xf numFmtId="14" fontId="0" fillId="0" borderId="11" xfId="0" applyNumberFormat="1" applyBorder="1"/>
    <xf numFmtId="164" fontId="0" fillId="0" borderId="14" xfId="0" applyNumberFormat="1" applyBorder="1"/>
    <xf numFmtId="165" fontId="0" fillId="0" borderId="23" xfId="0" applyNumberFormat="1" applyBorder="1"/>
    <xf numFmtId="165" fontId="0" fillId="0" borderId="14" xfId="0" applyNumberFormat="1" applyBorder="1"/>
    <xf numFmtId="165" fontId="0" fillId="0" borderId="25" xfId="0" applyNumberFormat="1" applyBorder="1"/>
    <xf numFmtId="14" fontId="0" fillId="0" borderId="26" xfId="0" applyNumberFormat="1" applyBorder="1"/>
    <xf numFmtId="0" fontId="0" fillId="0" borderId="12" xfId="0" applyFill="1" applyBorder="1" applyAlignment="1">
      <alignment horizontal="center"/>
    </xf>
    <xf numFmtId="0" fontId="0" fillId="15" borderId="0" xfId="0" applyFill="1"/>
    <xf numFmtId="172" fontId="4" fillId="10" borderId="0" xfId="6" applyNumberFormat="1" applyFont="1" applyFill="1" applyBorder="1" applyAlignment="1">
      <alignment horizontal="center"/>
    </xf>
    <xf numFmtId="172" fontId="4" fillId="11" borderId="0" xfId="6" applyNumberFormat="1" applyFont="1" applyFill="1" applyBorder="1" applyAlignment="1">
      <alignment horizontal="center"/>
    </xf>
    <xf numFmtId="172" fontId="4" fillId="13" borderId="0" xfId="6" applyNumberFormat="1" applyFont="1" applyFill="1" applyBorder="1" applyAlignment="1">
      <alignment horizontal="center"/>
    </xf>
    <xf numFmtId="172" fontId="4" fillId="9" borderId="0" xfId="6" applyNumberFormat="1" applyFont="1" applyFill="1" applyBorder="1" applyAlignment="1">
      <alignment horizontal="center"/>
    </xf>
    <xf numFmtId="0" fontId="12" fillId="9" borderId="25" xfId="0" applyFont="1" applyFill="1" applyBorder="1" applyAlignment="1">
      <alignment horizontal="center"/>
    </xf>
    <xf numFmtId="14" fontId="0" fillId="9" borderId="12" xfId="0" applyNumberFormat="1" applyFill="1" applyBorder="1" applyAlignment="1">
      <alignment horizontal="center"/>
    </xf>
    <xf numFmtId="14" fontId="0" fillId="9" borderId="26" xfId="0" applyNumberFormat="1" applyFill="1" applyBorder="1" applyAlignment="1">
      <alignment horizontal="center"/>
    </xf>
    <xf numFmtId="172" fontId="4" fillId="9" borderId="26" xfId="6" applyNumberFormat="1" applyFont="1" applyFill="1" applyBorder="1" applyAlignment="1">
      <alignment horizontal="center"/>
    </xf>
    <xf numFmtId="173" fontId="0" fillId="9" borderId="12" xfId="0" applyNumberFormat="1" applyFill="1" applyBorder="1" applyAlignment="1">
      <alignment horizontal="center"/>
    </xf>
    <xf numFmtId="173" fontId="0" fillId="9" borderId="28" xfId="0" applyNumberFormat="1" applyFill="1" applyBorder="1" applyAlignment="1">
      <alignment horizontal="center"/>
    </xf>
    <xf numFmtId="172" fontId="4" fillId="9" borderId="25" xfId="6" applyNumberFormat="1" applyFont="1" applyFill="1" applyBorder="1" applyAlignment="1">
      <alignment horizontal="center"/>
    </xf>
    <xf numFmtId="0" fontId="13" fillId="8" borderId="0" xfId="0" applyFont="1" applyFill="1"/>
    <xf numFmtId="0" fontId="12" fillId="9" borderId="14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9" borderId="0" xfId="0" applyNumberFormat="1" applyFill="1"/>
    <xf numFmtId="174" fontId="4" fillId="9" borderId="11" xfId="6" applyNumberFormat="1" applyFont="1" applyFill="1" applyBorder="1" applyAlignment="1">
      <alignment horizontal="center"/>
    </xf>
    <xf numFmtId="174" fontId="4" fillId="9" borderId="26" xfId="6" applyNumberFormat="1" applyFont="1" applyFill="1" applyBorder="1" applyAlignment="1">
      <alignment horizontal="center"/>
    </xf>
    <xf numFmtId="0" fontId="12" fillId="16" borderId="29" xfId="0" applyFont="1" applyFill="1" applyBorder="1" applyAlignment="1">
      <alignment horizontal="center"/>
    </xf>
    <xf numFmtId="14" fontId="0" fillId="16" borderId="30" xfId="0" applyNumberFormat="1" applyFill="1" applyBorder="1" applyAlignment="1">
      <alignment horizontal="center"/>
    </xf>
    <xf numFmtId="14" fontId="0" fillId="16" borderId="31" xfId="0" applyNumberFormat="1" applyFill="1" applyBorder="1" applyAlignment="1">
      <alignment horizontal="center"/>
    </xf>
    <xf numFmtId="172" fontId="4" fillId="16" borderId="31" xfId="6" applyNumberFormat="1" applyFont="1" applyFill="1" applyBorder="1" applyAlignment="1">
      <alignment horizontal="center"/>
    </xf>
    <xf numFmtId="174" fontId="4" fillId="16" borderId="31" xfId="6" applyNumberFormat="1" applyFont="1" applyFill="1" applyBorder="1" applyAlignment="1">
      <alignment horizontal="center"/>
    </xf>
    <xf numFmtId="0" fontId="12" fillId="17" borderId="14" xfId="0" applyFont="1" applyFill="1" applyBorder="1" applyAlignment="1">
      <alignment horizontal="center"/>
    </xf>
    <xf numFmtId="14" fontId="0" fillId="17" borderId="0" xfId="0" applyNumberFormat="1" applyFill="1" applyBorder="1" applyAlignment="1">
      <alignment horizontal="center"/>
    </xf>
    <xf numFmtId="14" fontId="0" fillId="17" borderId="11" xfId="0" applyNumberFormat="1" applyFill="1" applyBorder="1" applyAlignment="1">
      <alignment horizontal="center"/>
    </xf>
    <xf numFmtId="172" fontId="4" fillId="17" borderId="11" xfId="6" applyNumberFormat="1" applyFont="1" applyFill="1" applyBorder="1" applyAlignment="1">
      <alignment horizontal="center"/>
    </xf>
    <xf numFmtId="174" fontId="4" fillId="17" borderId="11" xfId="6" applyNumberFormat="1" applyFont="1" applyFill="1" applyBorder="1" applyAlignment="1">
      <alignment horizontal="center"/>
    </xf>
    <xf numFmtId="0" fontId="0" fillId="16" borderId="0" xfId="0" applyFill="1"/>
    <xf numFmtId="0" fontId="0" fillId="17" borderId="0" xfId="0" applyFill="1"/>
    <xf numFmtId="14" fontId="0" fillId="0" borderId="12" xfId="0" applyNumberFormat="1" applyBorder="1" applyAlignment="1"/>
    <xf numFmtId="2" fontId="0" fillId="0" borderId="15" xfId="0" applyNumberFormat="1" applyBorder="1"/>
    <xf numFmtId="164" fontId="0" fillId="0" borderId="27" xfId="0" applyNumberFormat="1" applyBorder="1"/>
    <xf numFmtId="164" fontId="0" fillId="0" borderId="12" xfId="0" applyNumberFormat="1" applyBorder="1"/>
    <xf numFmtId="168" fontId="0" fillId="0" borderId="12" xfId="0" applyNumberFormat="1" applyBorder="1"/>
    <xf numFmtId="165" fontId="0" fillId="9" borderId="12" xfId="0" applyNumberFormat="1" applyFill="1" applyBorder="1"/>
    <xf numFmtId="177" fontId="0" fillId="0" borderId="11" xfId="0" applyNumberFormat="1" applyBorder="1"/>
    <xf numFmtId="11" fontId="0" fillId="7" borderId="32" xfId="0" applyNumberFormat="1" applyFill="1" applyBorder="1"/>
    <xf numFmtId="2" fontId="0" fillId="0" borderId="11" xfId="0" applyNumberFormat="1" applyBorder="1"/>
    <xf numFmtId="14" fontId="0" fillId="0" borderId="4" xfId="0" applyNumberFormat="1" applyBorder="1"/>
    <xf numFmtId="173" fontId="0" fillId="0" borderId="0" xfId="0" applyNumberFormat="1"/>
    <xf numFmtId="174" fontId="4" fillId="0" borderId="23" xfId="6" applyNumberFormat="1" applyFont="1" applyBorder="1" applyAlignment="1">
      <alignment horizontal="center"/>
    </xf>
    <xf numFmtId="174" fontId="4" fillId="0" borderId="14" xfId="6" applyNumberFormat="1" applyFont="1" applyBorder="1" applyAlignment="1">
      <alignment horizontal="center"/>
    </xf>
    <xf numFmtId="174" fontId="4" fillId="0" borderId="25" xfId="6" applyNumberFormat="1" applyFont="1" applyBorder="1" applyAlignment="1">
      <alignment horizontal="center"/>
    </xf>
    <xf numFmtId="171" fontId="0" fillId="0" borderId="14" xfId="0" applyNumberFormat="1" applyBorder="1"/>
    <xf numFmtId="171" fontId="0" fillId="0" borderId="25" xfId="0" applyNumberFormat="1" applyBorder="1"/>
    <xf numFmtId="0" fontId="0" fillId="7" borderId="33" xfId="0" applyFill="1" applyBorder="1"/>
    <xf numFmtId="0" fontId="7" fillId="0" borderId="11" xfId="0" applyFont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0" fillId="0" borderId="12" xfId="0" applyBorder="1"/>
    <xf numFmtId="0" fontId="7" fillId="0" borderId="26" xfId="0" applyFont="1" applyBorder="1" applyAlignment="1">
      <alignment horizontal="center"/>
    </xf>
    <xf numFmtId="173" fontId="0" fillId="0" borderId="12" xfId="0" applyNumberFormat="1" applyBorder="1"/>
    <xf numFmtId="173" fontId="0" fillId="0" borderId="11" xfId="0" applyNumberFormat="1" applyBorder="1"/>
    <xf numFmtId="173" fontId="0" fillId="0" borderId="26" xfId="0" applyNumberFormat="1" applyBorder="1"/>
    <xf numFmtId="176" fontId="0" fillId="0" borderId="14" xfId="0" applyNumberFormat="1" applyBorder="1"/>
    <xf numFmtId="176" fontId="0" fillId="0" borderId="25" xfId="0" applyNumberFormat="1" applyBorder="1"/>
    <xf numFmtId="0" fontId="0" fillId="0" borderId="34" xfId="0" applyBorder="1"/>
    <xf numFmtId="0" fontId="0" fillId="0" borderId="35" xfId="0" applyBorder="1"/>
    <xf numFmtId="2" fontId="14" fillId="0" borderId="0" xfId="0" applyNumberFormat="1" applyFont="1"/>
    <xf numFmtId="164" fontId="0" fillId="0" borderId="5" xfId="0" applyNumberFormat="1" applyBorder="1"/>
    <xf numFmtId="177" fontId="0" fillId="0" borderId="26" xfId="0" applyNumberFormat="1" applyBorder="1"/>
    <xf numFmtId="178" fontId="4" fillId="0" borderId="14" xfId="6" applyNumberFormat="1" applyFont="1" applyBorder="1"/>
    <xf numFmtId="178" fontId="4" fillId="0" borderId="25" xfId="6" applyNumberFormat="1" applyFont="1" applyBorder="1"/>
    <xf numFmtId="177" fontId="0" fillId="7" borderId="33" xfId="0" applyNumberFormat="1" applyFill="1" applyBorder="1"/>
    <xf numFmtId="2" fontId="0" fillId="11" borderId="36" xfId="0" applyNumberFormat="1" applyFill="1" applyBorder="1"/>
    <xf numFmtId="0" fontId="6" fillId="18" borderId="37" xfId="7" applyFill="1" applyBorder="1" applyAlignment="1">
      <alignment horizontal="center"/>
    </xf>
    <xf numFmtId="172" fontId="0" fillId="11" borderId="38" xfId="0" applyNumberFormat="1" applyFill="1" applyBorder="1"/>
    <xf numFmtId="168" fontId="3" fillId="0" borderId="15" xfId="6" applyNumberFormat="1" applyFont="1" applyBorder="1" applyAlignment="1">
      <alignment horizontal="right"/>
    </xf>
    <xf numFmtId="168" fontId="4" fillId="0" borderId="11" xfId="6" applyNumberFormat="1" applyFont="1" applyBorder="1"/>
    <xf numFmtId="168" fontId="4" fillId="0" borderId="11" xfId="6" applyNumberFormat="1" applyFont="1" applyFill="1" applyBorder="1"/>
    <xf numFmtId="168" fontId="4" fillId="9" borderId="11" xfId="6" applyNumberFormat="1" applyFont="1" applyFill="1" applyBorder="1"/>
    <xf numFmtId="168" fontId="4" fillId="9" borderId="26" xfId="6" applyNumberFormat="1" applyFont="1" applyFill="1" applyBorder="1"/>
    <xf numFmtId="172" fontId="4" fillId="0" borderId="0" xfId="6" applyNumberFormat="1" applyFont="1"/>
    <xf numFmtId="172" fontId="4" fillId="0" borderId="39" xfId="6" applyNumberFormat="1" applyFont="1" applyBorder="1"/>
    <xf numFmtId="172" fontId="4" fillId="0" borderId="40" xfId="6" applyNumberFormat="1" applyFont="1" applyBorder="1"/>
    <xf numFmtId="172" fontId="4" fillId="0" borderId="41" xfId="6" applyNumberFormat="1" applyFont="1" applyBorder="1"/>
    <xf numFmtId="0" fontId="0" fillId="0" borderId="40" xfId="0" applyBorder="1"/>
    <xf numFmtId="0" fontId="0" fillId="0" borderId="39" xfId="0" applyBorder="1"/>
    <xf numFmtId="14" fontId="7" fillId="3" borderId="39" xfId="1" applyNumberFormat="1" applyFont="1" applyBorder="1" applyAlignment="1">
      <alignment horizontal="center" vertical="center"/>
    </xf>
    <xf numFmtId="0" fontId="0" fillId="0" borderId="41" xfId="0" applyBorder="1"/>
    <xf numFmtId="2" fontId="7" fillId="19" borderId="40" xfId="0" applyNumberFormat="1" applyFont="1" applyFill="1" applyBorder="1" applyAlignment="1">
      <alignment horizontal="center" vertical="center"/>
    </xf>
    <xf numFmtId="0" fontId="7" fillId="19" borderId="40" xfId="2" applyFont="1" applyFill="1" applyBorder="1" applyAlignment="1">
      <alignment horizontal="center" vertical="center"/>
    </xf>
    <xf numFmtId="0" fontId="7" fillId="19" borderId="42" xfId="2" applyFont="1" applyFill="1" applyBorder="1" applyAlignment="1">
      <alignment horizontal="center" vertical="center"/>
    </xf>
    <xf numFmtId="14" fontId="7" fillId="3" borderId="43" xfId="1" applyNumberFormat="1" applyFont="1" applyBorder="1" applyAlignment="1">
      <alignment horizontal="center" vertical="center"/>
    </xf>
    <xf numFmtId="0" fontId="15" fillId="19" borderId="40" xfId="0" applyFont="1" applyFill="1" applyBorder="1" applyAlignment="1">
      <alignment horizontal="center" vertical="center"/>
    </xf>
    <xf numFmtId="14" fontId="7" fillId="3" borderId="41" xfId="1" applyNumberFormat="1" applyFont="1" applyBorder="1" applyAlignment="1">
      <alignment horizontal="center" vertical="center"/>
    </xf>
    <xf numFmtId="0" fontId="15" fillId="19" borderId="41" xfId="0" applyFont="1" applyFill="1" applyBorder="1" applyAlignment="1">
      <alignment horizontal="center" vertical="center"/>
    </xf>
    <xf numFmtId="2" fontId="0" fillId="0" borderId="39" xfId="0" applyNumberFormat="1" applyBorder="1"/>
    <xf numFmtId="14" fontId="0" fillId="16" borderId="44" xfId="0" applyNumberFormat="1" applyFill="1" applyBorder="1" applyAlignment="1">
      <alignment horizontal="center"/>
    </xf>
    <xf numFmtId="14" fontId="0" fillId="17" borderId="40" xfId="0" applyNumberFormat="1" applyFill="1" applyBorder="1" applyAlignment="1">
      <alignment horizontal="center"/>
    </xf>
    <xf numFmtId="14" fontId="0" fillId="9" borderId="40" xfId="0" applyNumberFormat="1" applyFill="1" applyBorder="1" applyAlignment="1">
      <alignment horizontal="center"/>
    </xf>
    <xf numFmtId="14" fontId="0" fillId="9" borderId="45" xfId="0" applyNumberFormat="1" applyFill="1" applyBorder="1" applyAlignment="1">
      <alignment horizontal="center"/>
    </xf>
    <xf numFmtId="0" fontId="0" fillId="0" borderId="46" xfId="0" applyBorder="1"/>
    <xf numFmtId="172" fontId="0" fillId="0" borderId="11" xfId="0" applyNumberFormat="1" applyBorder="1"/>
    <xf numFmtId="172" fontId="0" fillId="0" borderId="26" xfId="0" applyNumberFormat="1" applyBorder="1"/>
    <xf numFmtId="14" fontId="0" fillId="0" borderId="15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14" fontId="0" fillId="0" borderId="26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6" borderId="8" xfId="5" applyFont="1" applyAlignment="1">
      <alignment horizontal="center" vertical="center"/>
    </xf>
    <xf numFmtId="174" fontId="4" fillId="6" borderId="8" xfId="5" applyNumberFormat="1" applyFon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178" fontId="4" fillId="0" borderId="0" xfId="6" applyNumberFormat="1" applyFont="1" applyAlignment="1">
      <alignment horizontal="center" vertical="center"/>
    </xf>
    <xf numFmtId="174" fontId="5" fillId="5" borderId="0" xfId="3" applyNumberFormat="1" applyAlignment="1">
      <alignment horizontal="center" vertical="center"/>
    </xf>
    <xf numFmtId="172" fontId="4" fillId="0" borderId="0" xfId="6" applyNumberFormat="1" applyFon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4" fontId="4" fillId="0" borderId="0" xfId="6" applyNumberFormat="1" applyFont="1" applyAlignment="1">
      <alignment horizontal="center" vertical="center"/>
    </xf>
    <xf numFmtId="178" fontId="5" fillId="5" borderId="0" xfId="3" applyNumberFormat="1" applyAlignment="1">
      <alignment horizontal="center" vertical="center"/>
    </xf>
    <xf numFmtId="177" fontId="0" fillId="0" borderId="47" xfId="0" applyNumberFormat="1" applyBorder="1"/>
    <xf numFmtId="177" fontId="0" fillId="0" borderId="48" xfId="0" applyNumberFormat="1" applyBorder="1"/>
    <xf numFmtId="177" fontId="0" fillId="0" borderId="49" xfId="0" applyNumberFormat="1" applyBorder="1"/>
    <xf numFmtId="177" fontId="0" fillId="0" borderId="46" xfId="0" applyNumberFormat="1" applyBorder="1"/>
    <xf numFmtId="177" fontId="0" fillId="0" borderId="0" xfId="0" applyNumberFormat="1" applyBorder="1"/>
    <xf numFmtId="177" fontId="0" fillId="0" borderId="40" xfId="0" applyNumberFormat="1" applyBorder="1"/>
    <xf numFmtId="177" fontId="0" fillId="0" borderId="50" xfId="0" applyNumberFormat="1" applyBorder="1"/>
    <xf numFmtId="177" fontId="0" fillId="0" borderId="39" xfId="0" applyNumberFormat="1" applyBorder="1"/>
    <xf numFmtId="177" fontId="0" fillId="0" borderId="41" xfId="0" applyNumberFormat="1" applyBorder="1"/>
    <xf numFmtId="0" fontId="9" fillId="0" borderId="40" xfId="0" applyFont="1" applyBorder="1"/>
    <xf numFmtId="3" fontId="0" fillId="0" borderId="0" xfId="0" applyNumberFormat="1"/>
    <xf numFmtId="22" fontId="0" fillId="0" borderId="0" xfId="0" applyNumberFormat="1"/>
    <xf numFmtId="0" fontId="12" fillId="9" borderId="0" xfId="0" applyFont="1" applyFill="1" applyBorder="1" applyAlignment="1">
      <alignment horizontal="left"/>
    </xf>
    <xf numFmtId="172" fontId="0" fillId="0" borderId="0" xfId="0" applyNumberFormat="1" applyFill="1"/>
    <xf numFmtId="172" fontId="0" fillId="0" borderId="6" xfId="0" applyNumberFormat="1" applyBorder="1"/>
    <xf numFmtId="173" fontId="0" fillId="0" borderId="7" xfId="0" applyNumberFormat="1" applyBorder="1"/>
    <xf numFmtId="0" fontId="0" fillId="0" borderId="11" xfId="0" applyNumberFormat="1" applyBorder="1"/>
    <xf numFmtId="0" fontId="0" fillId="9" borderId="11" xfId="0" applyNumberFormat="1" applyFill="1" applyBorder="1"/>
    <xf numFmtId="0" fontId="0" fillId="9" borderId="26" xfId="0" applyNumberFormat="1" applyFill="1" applyBorder="1"/>
    <xf numFmtId="0" fontId="7" fillId="0" borderId="51" xfId="0" applyFont="1" applyBorder="1" applyAlignment="1">
      <alignment horizontal="center"/>
    </xf>
    <xf numFmtId="0" fontId="7" fillId="0" borderId="5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164" fontId="0" fillId="7" borderId="11" xfId="0" applyNumberFormat="1" applyFill="1" applyBorder="1"/>
    <xf numFmtId="164" fontId="0" fillId="7" borderId="26" xfId="0" applyNumberFormat="1" applyFill="1" applyBorder="1"/>
  </cellXfs>
  <cellStyles count="8">
    <cellStyle name="20% - Accent1" xfId="1" builtinId="30"/>
    <cellStyle name="40% - Accent6" xfId="2" builtinId="51"/>
    <cellStyle name="Accent5" xfId="3" builtinId="45"/>
    <cellStyle name="Heading 3" xfId="7" builtinId="18"/>
    <cellStyle name="Normal" xfId="0" builtinId="0"/>
    <cellStyle name="Normal 3" xfId="4"/>
    <cellStyle name="Note" xfId="5" builtinId="10"/>
    <cellStyle name="Percent" xfId="6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s-ES" b="1">
                <a:solidFill>
                  <a:srgbClr val="002060"/>
                </a:solidFill>
              </a:rPr>
              <a:t>Factor de descuento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ESTER!$B$4:$B$27</c:f>
              <c:strCache>
                <c:ptCount val="24"/>
                <c:pt idx="0">
                  <c:v>O/N</c:v>
                </c:pt>
                <c:pt idx="1">
                  <c:v>T/N</c:v>
                </c:pt>
                <c:pt idx="2">
                  <c:v>1W</c:v>
                </c:pt>
                <c:pt idx="3">
                  <c:v>2W</c:v>
                </c:pt>
                <c:pt idx="4">
                  <c:v>3W</c:v>
                </c:pt>
                <c:pt idx="5">
                  <c:v>1M</c:v>
                </c:pt>
                <c:pt idx="6">
                  <c:v>2M</c:v>
                </c:pt>
                <c:pt idx="7">
                  <c:v>3M</c:v>
                </c:pt>
                <c:pt idx="8">
                  <c:v>4M</c:v>
                </c:pt>
                <c:pt idx="9">
                  <c:v>5M</c:v>
                </c:pt>
                <c:pt idx="10">
                  <c:v>6M</c:v>
                </c:pt>
                <c:pt idx="11">
                  <c:v>7M</c:v>
                </c:pt>
                <c:pt idx="12">
                  <c:v>8M</c:v>
                </c:pt>
                <c:pt idx="13">
                  <c:v>9M</c:v>
                </c:pt>
                <c:pt idx="14">
                  <c:v>10M</c:v>
                </c:pt>
                <c:pt idx="15">
                  <c:v>11M</c:v>
                </c:pt>
                <c:pt idx="16">
                  <c:v>1Yr</c:v>
                </c:pt>
                <c:pt idx="17">
                  <c:v>15M</c:v>
                </c:pt>
                <c:pt idx="18">
                  <c:v>18M</c:v>
                </c:pt>
                <c:pt idx="19">
                  <c:v>21M</c:v>
                </c:pt>
                <c:pt idx="20">
                  <c:v>2Yr</c:v>
                </c:pt>
                <c:pt idx="21">
                  <c:v>3Yr</c:v>
                </c:pt>
                <c:pt idx="22">
                  <c:v>4Yr</c:v>
                </c:pt>
                <c:pt idx="23">
                  <c:v>5Yr</c:v>
                </c:pt>
              </c:strCache>
            </c:strRef>
          </c:cat>
          <c:val>
            <c:numRef>
              <c:f>ESTER!$H$4:$H$27</c:f>
              <c:numCache>
                <c:formatCode>0.0000</c:formatCode>
                <c:ptCount val="24"/>
                <c:pt idx="0">
                  <c:v>1.0000395849002357</c:v>
                </c:pt>
                <c:pt idx="1">
                  <c:v>1.0000527807633532</c:v>
                </c:pt>
                <c:pt idx="2">
                  <c:v>1.0001441828289506</c:v>
                </c:pt>
                <c:pt idx="3">
                  <c:v>1.0002336563495431</c:v>
                </c:pt>
                <c:pt idx="4">
                  <c:v>1.0003217839630905</c:v>
                </c:pt>
                <c:pt idx="5">
                  <c:v>1.0004304432556823</c:v>
                </c:pt>
                <c:pt idx="6">
                  <c:v>1.0008318727745373</c:v>
                </c:pt>
                <c:pt idx="7">
                  <c:v>1.0012092887373214</c:v>
                </c:pt>
                <c:pt idx="8">
                  <c:v>1.0015835899935928</c:v>
                </c:pt>
                <c:pt idx="9">
                  <c:v>1.0019733131112591</c:v>
                </c:pt>
                <c:pt idx="10">
                  <c:v>1.0023609674812206</c:v>
                </c:pt>
                <c:pt idx="11">
                  <c:v>1.0027843653746338</c:v>
                </c:pt>
                <c:pt idx="12">
                  <c:v>1.0031659390609056</c:v>
                </c:pt>
                <c:pt idx="13">
                  <c:v>1.0035382363144458</c:v>
                </c:pt>
                <c:pt idx="14">
                  <c:v>1.0039525787804828</c:v>
                </c:pt>
                <c:pt idx="15">
                  <c:v>1.0044927783565751</c:v>
                </c:pt>
                <c:pt idx="16">
                  <c:v>1.0049435058250351</c:v>
                </c:pt>
                <c:pt idx="17">
                  <c:v>1.0064469937647778</c:v>
                </c:pt>
                <c:pt idx="18">
                  <c:v>1.0078936803241336</c:v>
                </c:pt>
                <c:pt idx="19">
                  <c:v>1.0094211822011048</c:v>
                </c:pt>
                <c:pt idx="20">
                  <c:v>1.01093050059689</c:v>
                </c:pt>
                <c:pt idx="21">
                  <c:v>1.0164892325506107</c:v>
                </c:pt>
                <c:pt idx="22">
                  <c:v>1.0218314313206374</c:v>
                </c:pt>
                <c:pt idx="23">
                  <c:v>1.0271708741344139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072-471F-8A3D-D942C7F2E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818120"/>
        <c:axId val="426813024"/>
      </c:lineChart>
      <c:catAx>
        <c:axId val="42681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6813024"/>
        <c:crosses val="autoZero"/>
        <c:auto val="1"/>
        <c:lblAlgn val="ctr"/>
        <c:lblOffset val="100"/>
        <c:noMultiLvlLbl val="0"/>
      </c:catAx>
      <c:valAx>
        <c:axId val="426813024"/>
        <c:scaling>
          <c:orientation val="minMax"/>
          <c:max val="1.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68181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3366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Curva Zero Rate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'Euribor 6M'!$AD$5:$AD$19</c:f>
              <c:strCache>
                <c:ptCount val="15"/>
                <c:pt idx="0">
                  <c:v>6M</c:v>
                </c:pt>
                <c:pt idx="1">
                  <c:v>7M</c:v>
                </c:pt>
                <c:pt idx="2">
                  <c:v>8M</c:v>
                </c:pt>
                <c:pt idx="3">
                  <c:v>9M</c:v>
                </c:pt>
                <c:pt idx="4">
                  <c:v>10M</c:v>
                </c:pt>
                <c:pt idx="5">
                  <c:v>11M</c:v>
                </c:pt>
                <c:pt idx="6">
                  <c:v>1Yr</c:v>
                </c:pt>
                <c:pt idx="7">
                  <c:v>18M</c:v>
                </c:pt>
                <c:pt idx="8">
                  <c:v>2Yr</c:v>
                </c:pt>
                <c:pt idx="9">
                  <c:v>2Yr + 6M</c:v>
                </c:pt>
                <c:pt idx="10">
                  <c:v>3Yr</c:v>
                </c:pt>
                <c:pt idx="11">
                  <c:v>3Yr + 6M</c:v>
                </c:pt>
                <c:pt idx="12">
                  <c:v>4Yr</c:v>
                </c:pt>
                <c:pt idx="13">
                  <c:v>4Yr + 6M</c:v>
                </c:pt>
                <c:pt idx="14">
                  <c:v>5Yr</c:v>
                </c:pt>
              </c:strCache>
            </c:strRef>
          </c:cat>
          <c:val>
            <c:numRef>
              <c:f>'Euribor 6M'!$AG$5:$AG$19</c:f>
              <c:numCache>
                <c:formatCode>0.0000%</c:formatCode>
                <c:ptCount val="15"/>
                <c:pt idx="0">
                  <c:v>-5.1572172521559137E-3</c:v>
                </c:pt>
                <c:pt idx="1">
                  <c:v>-5.3148851408716998E-3</c:v>
                </c:pt>
                <c:pt idx="2">
                  <c:v>-5.2862993599679204E-3</c:v>
                </c:pt>
                <c:pt idx="3">
                  <c:v>-5.27848240571496E-3</c:v>
                </c:pt>
                <c:pt idx="4">
                  <c:v>-5.2484832201098782E-3</c:v>
                </c:pt>
                <c:pt idx="5">
                  <c:v>-5.267652536147127E-3</c:v>
                </c:pt>
                <c:pt idx="6">
                  <c:v>-5.2332305514927856E-3</c:v>
                </c:pt>
                <c:pt idx="7">
                  <c:v>-5.2519773256759789E-3</c:v>
                </c:pt>
                <c:pt idx="8">
                  <c:v>-5.2252517565995176E-3</c:v>
                </c:pt>
                <c:pt idx="9">
                  <c:v>-5.1585095216120491E-3</c:v>
                </c:pt>
                <c:pt idx="10">
                  <c:v>-5.0910378632913833E-3</c:v>
                </c:pt>
                <c:pt idx="11">
                  <c:v>-4.9721766386999419E-3</c:v>
                </c:pt>
                <c:pt idx="12">
                  <c:v>-4.8533154141085005E-3</c:v>
                </c:pt>
                <c:pt idx="13">
                  <c:v>-4.6997525384333237E-3</c:v>
                </c:pt>
                <c:pt idx="14">
                  <c:v>-4.5461896627581469E-3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F01-4780-9AF7-BE352BE4B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816944"/>
        <c:axId val="426813416"/>
      </c:lineChart>
      <c:catAx>
        <c:axId val="42681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6813416"/>
        <c:crosses val="autoZero"/>
        <c:auto val="1"/>
        <c:lblAlgn val="ctr"/>
        <c:lblOffset val="100"/>
        <c:noMultiLvlLbl val="0"/>
      </c:catAx>
      <c:valAx>
        <c:axId val="426813416"/>
        <c:scaling>
          <c:orientation val="minMax"/>
          <c:max val="0"/>
          <c:min val="-5.5000000000000014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6816944"/>
        <c:crosses val="autoZero"/>
        <c:crossBetween val="between"/>
        <c:majorUnit val="5.0000000000000012E-4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3366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Curva Forward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'Euribor 6M'!$AD$5:$AD$19</c:f>
              <c:strCache>
                <c:ptCount val="15"/>
                <c:pt idx="0">
                  <c:v>6M</c:v>
                </c:pt>
                <c:pt idx="1">
                  <c:v>7M</c:v>
                </c:pt>
                <c:pt idx="2">
                  <c:v>8M</c:v>
                </c:pt>
                <c:pt idx="3">
                  <c:v>9M</c:v>
                </c:pt>
                <c:pt idx="4">
                  <c:v>10M</c:v>
                </c:pt>
                <c:pt idx="5">
                  <c:v>11M</c:v>
                </c:pt>
                <c:pt idx="6">
                  <c:v>1Yr</c:v>
                </c:pt>
                <c:pt idx="7">
                  <c:v>18M</c:v>
                </c:pt>
                <c:pt idx="8">
                  <c:v>2Yr</c:v>
                </c:pt>
                <c:pt idx="9">
                  <c:v>2Yr + 6M</c:v>
                </c:pt>
                <c:pt idx="10">
                  <c:v>3Yr</c:v>
                </c:pt>
                <c:pt idx="11">
                  <c:v>3Yr + 6M</c:v>
                </c:pt>
                <c:pt idx="12">
                  <c:v>4Yr</c:v>
                </c:pt>
                <c:pt idx="13">
                  <c:v>4Yr + 6M</c:v>
                </c:pt>
                <c:pt idx="14">
                  <c:v>5Yr</c:v>
                </c:pt>
              </c:strCache>
            </c:strRef>
          </c:cat>
          <c:val>
            <c:numRef>
              <c:f>'Euribor 6M'!$AI$5:$AI$19</c:f>
              <c:numCache>
                <c:formatCode>0.000%</c:formatCode>
                <c:ptCount val="15"/>
                <c:pt idx="0">
                  <c:v>-5.0800000000000393E-3</c:v>
                </c:pt>
                <c:pt idx="1">
                  <c:v>-5.2600000000001205E-3</c:v>
                </c:pt>
                <c:pt idx="2">
                  <c:v>-5.2499999999999951E-3</c:v>
                </c:pt>
                <c:pt idx="3">
                  <c:v>-5.2599999999998351E-3</c:v>
                </c:pt>
                <c:pt idx="4">
                  <c:v>-5.2300000000002683E-3</c:v>
                </c:pt>
                <c:pt idx="5">
                  <c:v>-5.280000000000157E-3</c:v>
                </c:pt>
                <c:pt idx="6">
                  <c:v>-5.2299999999998294E-3</c:v>
                </c:pt>
                <c:pt idx="7">
                  <c:v>-5.2100000000000826E-3</c:v>
                </c:pt>
                <c:pt idx="8">
                  <c:v>-5.0678018005000025E-3</c:v>
                </c:pt>
                <c:pt idx="9">
                  <c:v>-4.8193396647061848E-3</c:v>
                </c:pt>
                <c:pt idx="10">
                  <c:v>-4.6872230945643962E-3</c:v>
                </c:pt>
                <c:pt idx="11">
                  <c:v>-4.192352809529753E-3</c:v>
                </c:pt>
                <c:pt idx="12">
                  <c:v>-3.9583699078393035E-3</c:v>
                </c:pt>
                <c:pt idx="13">
                  <c:v>-3.4157523565963585E-3</c:v>
                </c:pt>
                <c:pt idx="14">
                  <c:v>-3.113333747069868E-3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856-448A-AF13-338FD6A1D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814592"/>
        <c:axId val="426812632"/>
      </c:lineChart>
      <c:catAx>
        <c:axId val="42681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6812632"/>
        <c:crosses val="autoZero"/>
        <c:auto val="1"/>
        <c:lblAlgn val="ctr"/>
        <c:lblOffset val="100"/>
        <c:noMultiLvlLbl val="0"/>
      </c:catAx>
      <c:valAx>
        <c:axId val="426812632"/>
        <c:scaling>
          <c:orientation val="minMax"/>
          <c:max val="0"/>
          <c:min val="-5.5000000000000014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6814592"/>
        <c:crosses val="autoZero"/>
        <c:crossBetween val="between"/>
        <c:majorUnit val="5.0000000000000012E-4"/>
        <c:minorUnit val="1.0000000000000003E-4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Curva Zero Rate Euribor6M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Curvas_antiguas!$C$34</c:f>
              <c:strCache>
                <c:ptCount val="1"/>
                <c:pt idx="0">
                  <c:v>03/10/2005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Curvas_antiguas!$B$35:$B$51</c:f>
              <c:strCache>
                <c:ptCount val="17"/>
                <c:pt idx="0">
                  <c:v>6M</c:v>
                </c:pt>
                <c:pt idx="1">
                  <c:v>7M</c:v>
                </c:pt>
                <c:pt idx="2">
                  <c:v>8M</c:v>
                </c:pt>
                <c:pt idx="3">
                  <c:v>9M</c:v>
                </c:pt>
                <c:pt idx="4">
                  <c:v>10M</c:v>
                </c:pt>
                <c:pt idx="5">
                  <c:v>11M</c:v>
                </c:pt>
                <c:pt idx="6">
                  <c:v>12M</c:v>
                </c:pt>
                <c:pt idx="7">
                  <c:v>13M</c:v>
                </c:pt>
                <c:pt idx="8">
                  <c:v>14M</c:v>
                </c:pt>
                <c:pt idx="9">
                  <c:v>15M</c:v>
                </c:pt>
                <c:pt idx="10">
                  <c:v>16M</c:v>
                </c:pt>
                <c:pt idx="11">
                  <c:v>17M</c:v>
                </c:pt>
                <c:pt idx="12">
                  <c:v>18M</c:v>
                </c:pt>
                <c:pt idx="13">
                  <c:v>2Y</c:v>
                </c:pt>
                <c:pt idx="14">
                  <c:v>3Y</c:v>
                </c:pt>
                <c:pt idx="15">
                  <c:v>4Y</c:v>
                </c:pt>
                <c:pt idx="16">
                  <c:v>5Y</c:v>
                </c:pt>
              </c:strCache>
            </c:strRef>
          </c:cat>
          <c:val>
            <c:numRef>
              <c:f>Curvas_antiguas!$C$35:$C$51</c:f>
              <c:numCache>
                <c:formatCode>0.000%</c:formatCode>
                <c:ptCount val="17"/>
                <c:pt idx="0">
                  <c:v>2.2342855419168198E-2</c:v>
                </c:pt>
                <c:pt idx="1">
                  <c:v>2.23504640309218E-2</c:v>
                </c:pt>
                <c:pt idx="2">
                  <c:v>2.2329368597279999E-2</c:v>
                </c:pt>
                <c:pt idx="3">
                  <c:v>2.2614085412590901E-2</c:v>
                </c:pt>
                <c:pt idx="4">
                  <c:v>2.2598092379193899E-2</c:v>
                </c:pt>
                <c:pt idx="5">
                  <c:v>2.2887758360933201E-2</c:v>
                </c:pt>
                <c:pt idx="6">
                  <c:v>2.2866406795787601E-2</c:v>
                </c:pt>
                <c:pt idx="7">
                  <c:v>2.2866406795787601E-2</c:v>
                </c:pt>
                <c:pt idx="8">
                  <c:v>2.2866406795787601E-2</c:v>
                </c:pt>
                <c:pt idx="9">
                  <c:v>2.3524119822480899E-2</c:v>
                </c:pt>
                <c:pt idx="10">
                  <c:v>2.3745740516257899E-2</c:v>
                </c:pt>
                <c:pt idx="11">
                  <c:v>2.3945914046121099E-2</c:v>
                </c:pt>
                <c:pt idx="12">
                  <c:v>2.4167534739898199E-2</c:v>
                </c:pt>
                <c:pt idx="13">
                  <c:v>2.5475811738646801E-2</c:v>
                </c:pt>
                <c:pt idx="14">
                  <c:v>2.67376780557332E-2</c:v>
                </c:pt>
                <c:pt idx="15">
                  <c:v>2.7791939672580399E-2</c:v>
                </c:pt>
                <c:pt idx="16">
                  <c:v>2.87905527111623E-2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E6-4862-89F4-42C2F6F4D459}"/>
            </c:ext>
          </c:extLst>
        </c:ser>
        <c:ser>
          <c:idx val="1"/>
          <c:order val="1"/>
          <c:tx>
            <c:strRef>
              <c:f>Curvas_antiguas!$D$34</c:f>
              <c:strCache>
                <c:ptCount val="1"/>
                <c:pt idx="0">
                  <c:v>02/07/2007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Curvas_antiguas!$B$35:$B$51</c:f>
              <c:strCache>
                <c:ptCount val="17"/>
                <c:pt idx="0">
                  <c:v>6M</c:v>
                </c:pt>
                <c:pt idx="1">
                  <c:v>7M</c:v>
                </c:pt>
                <c:pt idx="2">
                  <c:v>8M</c:v>
                </c:pt>
                <c:pt idx="3">
                  <c:v>9M</c:v>
                </c:pt>
                <c:pt idx="4">
                  <c:v>10M</c:v>
                </c:pt>
                <c:pt idx="5">
                  <c:v>11M</c:v>
                </c:pt>
                <c:pt idx="6">
                  <c:v>12M</c:v>
                </c:pt>
                <c:pt idx="7">
                  <c:v>13M</c:v>
                </c:pt>
                <c:pt idx="8">
                  <c:v>14M</c:v>
                </c:pt>
                <c:pt idx="9">
                  <c:v>15M</c:v>
                </c:pt>
                <c:pt idx="10">
                  <c:v>16M</c:v>
                </c:pt>
                <c:pt idx="11">
                  <c:v>17M</c:v>
                </c:pt>
                <c:pt idx="12">
                  <c:v>18M</c:v>
                </c:pt>
                <c:pt idx="13">
                  <c:v>2Y</c:v>
                </c:pt>
                <c:pt idx="14">
                  <c:v>3Y</c:v>
                </c:pt>
                <c:pt idx="15">
                  <c:v>4Y</c:v>
                </c:pt>
                <c:pt idx="16">
                  <c:v>5Y</c:v>
                </c:pt>
              </c:strCache>
            </c:strRef>
          </c:cat>
          <c:val>
            <c:numRef>
              <c:f>Curvas_antiguas!$D$35:$D$51</c:f>
              <c:numCache>
                <c:formatCode>0.000%</c:formatCode>
                <c:ptCount val="17"/>
                <c:pt idx="0">
                  <c:v>4.3283770227236999E-2</c:v>
                </c:pt>
                <c:pt idx="1">
                  <c:v>4.3541004741848702E-2</c:v>
                </c:pt>
                <c:pt idx="2">
                  <c:v>4.3811159644240698E-2</c:v>
                </c:pt>
                <c:pt idx="3">
                  <c:v>4.4172026475934399E-2</c:v>
                </c:pt>
                <c:pt idx="4">
                  <c:v>4.4222182532449202E-2</c:v>
                </c:pt>
                <c:pt idx="5">
                  <c:v>4.4449602137145203E-2</c:v>
                </c:pt>
                <c:pt idx="6">
                  <c:v>4.4854460131864698E-2</c:v>
                </c:pt>
                <c:pt idx="7">
                  <c:v>4.4854460131864698E-2</c:v>
                </c:pt>
                <c:pt idx="8">
                  <c:v>4.4854460131864698E-2</c:v>
                </c:pt>
                <c:pt idx="9">
                  <c:v>4.5224897620271001E-2</c:v>
                </c:pt>
                <c:pt idx="10">
                  <c:v>4.5339181526268701E-2</c:v>
                </c:pt>
                <c:pt idx="11">
                  <c:v>4.5457406256611099E-2</c:v>
                </c:pt>
                <c:pt idx="12">
                  <c:v>4.5583512635643003E-2</c:v>
                </c:pt>
                <c:pt idx="13">
                  <c:v>4.6300742666387097E-2</c:v>
                </c:pt>
                <c:pt idx="14">
                  <c:v>4.6530643201931503E-2</c:v>
                </c:pt>
                <c:pt idx="15">
                  <c:v>4.6622286573229803E-2</c:v>
                </c:pt>
                <c:pt idx="16">
                  <c:v>4.6743265454869301E-2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FE6-4862-89F4-42C2F6F4D459}"/>
            </c:ext>
          </c:extLst>
        </c:ser>
        <c:ser>
          <c:idx val="2"/>
          <c:order val="2"/>
          <c:tx>
            <c:strRef>
              <c:f>Curvas_antiguas!$E$34</c:f>
              <c:strCache>
                <c:ptCount val="1"/>
                <c:pt idx="0">
                  <c:v>22/05/2015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Curvas_antiguas!$B$35:$B$51</c:f>
              <c:strCache>
                <c:ptCount val="17"/>
                <c:pt idx="0">
                  <c:v>6M</c:v>
                </c:pt>
                <c:pt idx="1">
                  <c:v>7M</c:v>
                </c:pt>
                <c:pt idx="2">
                  <c:v>8M</c:v>
                </c:pt>
                <c:pt idx="3">
                  <c:v>9M</c:v>
                </c:pt>
                <c:pt idx="4">
                  <c:v>10M</c:v>
                </c:pt>
                <c:pt idx="5">
                  <c:v>11M</c:v>
                </c:pt>
                <c:pt idx="6">
                  <c:v>12M</c:v>
                </c:pt>
                <c:pt idx="7">
                  <c:v>13M</c:v>
                </c:pt>
                <c:pt idx="8">
                  <c:v>14M</c:v>
                </c:pt>
                <c:pt idx="9">
                  <c:v>15M</c:v>
                </c:pt>
                <c:pt idx="10">
                  <c:v>16M</c:v>
                </c:pt>
                <c:pt idx="11">
                  <c:v>17M</c:v>
                </c:pt>
                <c:pt idx="12">
                  <c:v>18M</c:v>
                </c:pt>
                <c:pt idx="13">
                  <c:v>2Y</c:v>
                </c:pt>
                <c:pt idx="14">
                  <c:v>3Y</c:v>
                </c:pt>
                <c:pt idx="15">
                  <c:v>4Y</c:v>
                </c:pt>
                <c:pt idx="16">
                  <c:v>5Y</c:v>
                </c:pt>
              </c:strCache>
            </c:strRef>
          </c:cat>
          <c:val>
            <c:numRef>
              <c:f>Curvas_antiguas!$E$35:$E$51</c:f>
              <c:numCache>
                <c:formatCode>0.000%</c:formatCode>
                <c:ptCount val="17"/>
                <c:pt idx="0">
                  <c:v>5.4742445889916001E-4</c:v>
                </c:pt>
                <c:pt idx="1">
                  <c:v>6.2555455456961197E-4</c:v>
                </c:pt>
                <c:pt idx="2">
                  <c:v>6.5341570904175095E-4</c:v>
                </c:pt>
                <c:pt idx="3">
                  <c:v>6.7580871710191297E-4</c:v>
                </c:pt>
                <c:pt idx="4">
                  <c:v>6.9195413541732801E-4</c:v>
                </c:pt>
                <c:pt idx="5">
                  <c:v>7.0198931043791895E-4</c:v>
                </c:pt>
                <c:pt idx="6">
                  <c:v>7.0870355473854902E-4</c:v>
                </c:pt>
                <c:pt idx="7">
                  <c:v>7.5667591251559895E-4</c:v>
                </c:pt>
                <c:pt idx="8">
                  <c:v>7.8103456154554303E-4</c:v>
                </c:pt>
                <c:pt idx="9">
                  <c:v>8.0199922605833705E-4</c:v>
                </c:pt>
                <c:pt idx="10">
                  <c:v>8.2227454658654101E-4</c:v>
                </c:pt>
                <c:pt idx="11">
                  <c:v>8.4045938872526996E-4</c:v>
                </c:pt>
                <c:pt idx="12">
                  <c:v>8.5583783460932601E-4</c:v>
                </c:pt>
                <c:pt idx="13">
                  <c:v>1.08817758720061E-3</c:v>
                </c:pt>
                <c:pt idx="14">
                  <c:v>1.7752695539326299E-3</c:v>
                </c:pt>
                <c:pt idx="15">
                  <c:v>2.7965217757351499E-3</c:v>
                </c:pt>
                <c:pt idx="16">
                  <c:v>3.9831890766961397E-3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FE6-4862-89F4-42C2F6F4D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814200"/>
        <c:axId val="426812240"/>
      </c:lineChart>
      <c:catAx>
        <c:axId val="426814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6812240"/>
        <c:crosses val="autoZero"/>
        <c:auto val="0"/>
        <c:lblAlgn val="ctr"/>
        <c:lblOffset val="100"/>
        <c:noMultiLvlLbl val="0"/>
      </c:catAx>
      <c:valAx>
        <c:axId val="426812240"/>
        <c:scaling>
          <c:orientation val="minMax"/>
          <c:min val="-5.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6814200"/>
        <c:crosses val="autoZero"/>
        <c:crossBetween val="between"/>
        <c:majorUnit val="5.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4608961469315136"/>
          <c:y val="0.45798546920765337"/>
          <c:w val="0.13962267992157307"/>
          <c:h val="0.2289927346038266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Curva Zero Rate Eonia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Curvas_antiguas!$C$4</c:f>
              <c:strCache>
                <c:ptCount val="1"/>
                <c:pt idx="0">
                  <c:v>03/10/2005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Curvas_antiguas!$B$5:$B$28</c:f>
              <c:strCache>
                <c:ptCount val="24"/>
                <c:pt idx="0">
                  <c:v>ON</c:v>
                </c:pt>
                <c:pt idx="1">
                  <c:v>TN</c:v>
                </c:pt>
                <c:pt idx="2">
                  <c:v>1W</c:v>
                </c:pt>
                <c:pt idx="3">
                  <c:v>2W</c:v>
                </c:pt>
                <c:pt idx="4">
                  <c:v>3W</c:v>
                </c:pt>
                <c:pt idx="5">
                  <c:v>1M</c:v>
                </c:pt>
                <c:pt idx="6">
                  <c:v>2M</c:v>
                </c:pt>
                <c:pt idx="7">
                  <c:v>3M</c:v>
                </c:pt>
                <c:pt idx="8">
                  <c:v>4M</c:v>
                </c:pt>
                <c:pt idx="9">
                  <c:v>5M</c:v>
                </c:pt>
                <c:pt idx="10">
                  <c:v>6M</c:v>
                </c:pt>
                <c:pt idx="11">
                  <c:v>7M</c:v>
                </c:pt>
                <c:pt idx="12">
                  <c:v>8M</c:v>
                </c:pt>
                <c:pt idx="13">
                  <c:v>9M</c:v>
                </c:pt>
                <c:pt idx="14">
                  <c:v>10M</c:v>
                </c:pt>
                <c:pt idx="15">
                  <c:v>11M</c:v>
                </c:pt>
                <c:pt idx="16">
                  <c:v>12M</c:v>
                </c:pt>
                <c:pt idx="17">
                  <c:v>15M</c:v>
                </c:pt>
                <c:pt idx="18">
                  <c:v>18M</c:v>
                </c:pt>
                <c:pt idx="19">
                  <c:v>21M</c:v>
                </c:pt>
                <c:pt idx="20">
                  <c:v>2Y</c:v>
                </c:pt>
                <c:pt idx="21">
                  <c:v>3Y</c:v>
                </c:pt>
                <c:pt idx="22">
                  <c:v>4Y</c:v>
                </c:pt>
                <c:pt idx="23">
                  <c:v>5Y</c:v>
                </c:pt>
              </c:strCache>
            </c:strRef>
          </c:cat>
          <c:val>
            <c:numRef>
              <c:f>Curvas_antiguas!$C$5:$C$28</c:f>
              <c:numCache>
                <c:formatCode>0.000%</c:formatCode>
                <c:ptCount val="24"/>
                <c:pt idx="0">
                  <c:v>2.09868966325313E-2</c:v>
                </c:pt>
                <c:pt idx="1">
                  <c:v>2.0961550865943899E-2</c:v>
                </c:pt>
                <c:pt idx="2">
                  <c:v>2.11282189682272E-2</c:v>
                </c:pt>
                <c:pt idx="3">
                  <c:v>2.11452916126602E-2</c:v>
                </c:pt>
                <c:pt idx="4">
                  <c:v>2.1167584023765298E-2</c:v>
                </c:pt>
                <c:pt idx="5">
                  <c:v>2.1205799585659799E-2</c:v>
                </c:pt>
                <c:pt idx="6">
                  <c:v>2.1293505588755798E-2</c:v>
                </c:pt>
                <c:pt idx="7">
                  <c:v>2.1409545550962202E-2</c:v>
                </c:pt>
                <c:pt idx="8">
                  <c:v>2.14715315782485E-2</c:v>
                </c:pt>
                <c:pt idx="9">
                  <c:v>2.1544883525862899E-2</c:v>
                </c:pt>
                <c:pt idx="10">
                  <c:v>2.1661268160387801E-2</c:v>
                </c:pt>
                <c:pt idx="11">
                  <c:v>2.1806970670640399E-2</c:v>
                </c:pt>
                <c:pt idx="12">
                  <c:v>2.1996166538006099E-2</c:v>
                </c:pt>
                <c:pt idx="13">
                  <c:v>2.2190315364640299E-2</c:v>
                </c:pt>
                <c:pt idx="14">
                  <c:v>2.2408551367278401E-2</c:v>
                </c:pt>
                <c:pt idx="15">
                  <c:v>2.2587120506641301E-2</c:v>
                </c:pt>
                <c:pt idx="16">
                  <c:v>2.2793933413628099E-2</c:v>
                </c:pt>
                <c:pt idx="17">
                  <c:v>2.3270096249512599E-2</c:v>
                </c:pt>
                <c:pt idx="18">
                  <c:v>2.37359077193997E-2</c:v>
                </c:pt>
                <c:pt idx="19">
                  <c:v>2.4144948900949099E-2</c:v>
                </c:pt>
                <c:pt idx="20">
                  <c:v>2.4558485040537401E-2</c:v>
                </c:pt>
                <c:pt idx="21">
                  <c:v>2.58005192510611E-2</c:v>
                </c:pt>
                <c:pt idx="22">
                  <c:v>2.6773755785215899E-2</c:v>
                </c:pt>
                <c:pt idx="23">
                  <c:v>2.7779246138654099E-2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15D-4646-9E47-6EA1C5FC6D48}"/>
            </c:ext>
          </c:extLst>
        </c:ser>
        <c:ser>
          <c:idx val="1"/>
          <c:order val="1"/>
          <c:tx>
            <c:strRef>
              <c:f>Curvas_antiguas!$D$4</c:f>
              <c:strCache>
                <c:ptCount val="1"/>
                <c:pt idx="0">
                  <c:v>02/07/2007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Curvas_antiguas!$B$5:$B$28</c:f>
              <c:strCache>
                <c:ptCount val="24"/>
                <c:pt idx="0">
                  <c:v>ON</c:v>
                </c:pt>
                <c:pt idx="1">
                  <c:v>TN</c:v>
                </c:pt>
                <c:pt idx="2">
                  <c:v>1W</c:v>
                </c:pt>
                <c:pt idx="3">
                  <c:v>2W</c:v>
                </c:pt>
                <c:pt idx="4">
                  <c:v>3W</c:v>
                </c:pt>
                <c:pt idx="5">
                  <c:v>1M</c:v>
                </c:pt>
                <c:pt idx="6">
                  <c:v>2M</c:v>
                </c:pt>
                <c:pt idx="7">
                  <c:v>3M</c:v>
                </c:pt>
                <c:pt idx="8">
                  <c:v>4M</c:v>
                </c:pt>
                <c:pt idx="9">
                  <c:v>5M</c:v>
                </c:pt>
                <c:pt idx="10">
                  <c:v>6M</c:v>
                </c:pt>
                <c:pt idx="11">
                  <c:v>7M</c:v>
                </c:pt>
                <c:pt idx="12">
                  <c:v>8M</c:v>
                </c:pt>
                <c:pt idx="13">
                  <c:v>9M</c:v>
                </c:pt>
                <c:pt idx="14">
                  <c:v>10M</c:v>
                </c:pt>
                <c:pt idx="15">
                  <c:v>11M</c:v>
                </c:pt>
                <c:pt idx="16">
                  <c:v>12M</c:v>
                </c:pt>
                <c:pt idx="17">
                  <c:v>15M</c:v>
                </c:pt>
                <c:pt idx="18">
                  <c:v>18M</c:v>
                </c:pt>
                <c:pt idx="19">
                  <c:v>21M</c:v>
                </c:pt>
                <c:pt idx="20">
                  <c:v>2Y</c:v>
                </c:pt>
                <c:pt idx="21">
                  <c:v>3Y</c:v>
                </c:pt>
                <c:pt idx="22">
                  <c:v>4Y</c:v>
                </c:pt>
                <c:pt idx="23">
                  <c:v>5Y</c:v>
                </c:pt>
              </c:strCache>
            </c:strRef>
          </c:cat>
          <c:val>
            <c:numRef>
              <c:f>Curvas_antiguas!$D$5:$D$28</c:f>
              <c:numCache>
                <c:formatCode>0.000%</c:formatCode>
                <c:ptCount val="24"/>
                <c:pt idx="0">
                  <c:v>4.1262945319121301E-2</c:v>
                </c:pt>
                <c:pt idx="1">
                  <c:v>4.1212256598282197E-2</c:v>
                </c:pt>
                <c:pt idx="2">
                  <c:v>4.0894099675838298E-2</c:v>
                </c:pt>
                <c:pt idx="3">
                  <c:v>4.10130954884462E-2</c:v>
                </c:pt>
                <c:pt idx="4">
                  <c:v>4.1060671247012903E-2</c:v>
                </c:pt>
                <c:pt idx="5">
                  <c:v>4.11422296902701E-2</c:v>
                </c:pt>
                <c:pt idx="6">
                  <c:v>4.1153429253763599E-2</c:v>
                </c:pt>
                <c:pt idx="7">
                  <c:v>4.1477839272196802E-2</c:v>
                </c:pt>
                <c:pt idx="8">
                  <c:v>4.1990838716963297E-2</c:v>
                </c:pt>
                <c:pt idx="9">
                  <c:v>4.226372197778E-2</c:v>
                </c:pt>
                <c:pt idx="10">
                  <c:v>4.2677512322277698E-2</c:v>
                </c:pt>
                <c:pt idx="11">
                  <c:v>4.2956460353075897E-2</c:v>
                </c:pt>
                <c:pt idx="12">
                  <c:v>4.3218597513230601E-2</c:v>
                </c:pt>
                <c:pt idx="13">
                  <c:v>4.3507909837780197E-2</c:v>
                </c:pt>
                <c:pt idx="14">
                  <c:v>4.3756057089940799E-2</c:v>
                </c:pt>
                <c:pt idx="15">
                  <c:v>4.3970794919032503E-2</c:v>
                </c:pt>
                <c:pt idx="16">
                  <c:v>4.41451450086284E-2</c:v>
                </c:pt>
                <c:pt idx="17">
                  <c:v>4.4436821697613801E-2</c:v>
                </c:pt>
                <c:pt idx="18">
                  <c:v>4.4719189556099798E-2</c:v>
                </c:pt>
                <c:pt idx="19">
                  <c:v>4.4868269685893199E-2</c:v>
                </c:pt>
                <c:pt idx="20">
                  <c:v>4.5017349815686503E-2</c:v>
                </c:pt>
                <c:pt idx="21">
                  <c:v>4.52749879246361E-2</c:v>
                </c:pt>
                <c:pt idx="22">
                  <c:v>4.5437850480410498E-2</c:v>
                </c:pt>
                <c:pt idx="23">
                  <c:v>4.5560148654335303E-2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15D-4646-9E47-6EA1C5FC6D48}"/>
            </c:ext>
          </c:extLst>
        </c:ser>
        <c:ser>
          <c:idx val="2"/>
          <c:order val="2"/>
          <c:tx>
            <c:strRef>
              <c:f>Curvas_antiguas!$E$4</c:f>
              <c:strCache>
                <c:ptCount val="1"/>
                <c:pt idx="0">
                  <c:v>22/05/2015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Curvas_antiguas!$B$5:$B$28</c:f>
              <c:strCache>
                <c:ptCount val="24"/>
                <c:pt idx="0">
                  <c:v>ON</c:v>
                </c:pt>
                <c:pt idx="1">
                  <c:v>TN</c:v>
                </c:pt>
                <c:pt idx="2">
                  <c:v>1W</c:v>
                </c:pt>
                <c:pt idx="3">
                  <c:v>2W</c:v>
                </c:pt>
                <c:pt idx="4">
                  <c:v>3W</c:v>
                </c:pt>
                <c:pt idx="5">
                  <c:v>1M</c:v>
                </c:pt>
                <c:pt idx="6">
                  <c:v>2M</c:v>
                </c:pt>
                <c:pt idx="7">
                  <c:v>3M</c:v>
                </c:pt>
                <c:pt idx="8">
                  <c:v>4M</c:v>
                </c:pt>
                <c:pt idx="9">
                  <c:v>5M</c:v>
                </c:pt>
                <c:pt idx="10">
                  <c:v>6M</c:v>
                </c:pt>
                <c:pt idx="11">
                  <c:v>7M</c:v>
                </c:pt>
                <c:pt idx="12">
                  <c:v>8M</c:v>
                </c:pt>
                <c:pt idx="13">
                  <c:v>9M</c:v>
                </c:pt>
                <c:pt idx="14">
                  <c:v>10M</c:v>
                </c:pt>
                <c:pt idx="15">
                  <c:v>11M</c:v>
                </c:pt>
                <c:pt idx="16">
                  <c:v>12M</c:v>
                </c:pt>
                <c:pt idx="17">
                  <c:v>15M</c:v>
                </c:pt>
                <c:pt idx="18">
                  <c:v>18M</c:v>
                </c:pt>
                <c:pt idx="19">
                  <c:v>21M</c:v>
                </c:pt>
                <c:pt idx="20">
                  <c:v>2Y</c:v>
                </c:pt>
                <c:pt idx="21">
                  <c:v>3Y</c:v>
                </c:pt>
                <c:pt idx="22">
                  <c:v>4Y</c:v>
                </c:pt>
                <c:pt idx="23">
                  <c:v>5Y</c:v>
                </c:pt>
              </c:strCache>
            </c:strRef>
          </c:cat>
          <c:val>
            <c:numRef>
              <c:f>Curvas_antiguas!$E$5:$E$28</c:f>
              <c:numCache>
                <c:formatCode>0.000%</c:formatCode>
                <c:ptCount val="24"/>
                <c:pt idx="0">
                  <c:v>-1.41945272460801E-3</c:v>
                </c:pt>
                <c:pt idx="1">
                  <c:v>-1.4447986688994399E-3</c:v>
                </c:pt>
                <c:pt idx="2">
                  <c:v>-1.1060682333546999E-3</c:v>
                </c:pt>
                <c:pt idx="3">
                  <c:v>-1.1254341761186299E-3</c:v>
                </c:pt>
                <c:pt idx="4">
                  <c:v>-1.14787246293111E-3</c:v>
                </c:pt>
                <c:pt idx="5">
                  <c:v>-1.17992715837752E-3</c:v>
                </c:pt>
                <c:pt idx="6">
                  <c:v>-1.2306109675888899E-3</c:v>
                </c:pt>
                <c:pt idx="7">
                  <c:v>-1.2603690932307999E-3</c:v>
                </c:pt>
                <c:pt idx="8">
                  <c:v>-1.28295842254224E-3</c:v>
                </c:pt>
                <c:pt idx="9">
                  <c:v>-1.2820958414770801E-3</c:v>
                </c:pt>
                <c:pt idx="10">
                  <c:v>-1.2814623218468601E-3</c:v>
                </c:pt>
                <c:pt idx="11">
                  <c:v>-1.2909782548540601E-3</c:v>
                </c:pt>
                <c:pt idx="12">
                  <c:v>-1.2857190633578301E-3</c:v>
                </c:pt>
                <c:pt idx="13">
                  <c:v>-1.27549674470456E-3</c:v>
                </c:pt>
                <c:pt idx="14">
                  <c:v>-1.28032508828205E-3</c:v>
                </c:pt>
                <c:pt idx="15">
                  <c:v>-1.2701797769354599E-3</c:v>
                </c:pt>
                <c:pt idx="16">
                  <c:v>-1.2499927492840199E-3</c:v>
                </c:pt>
                <c:pt idx="17">
                  <c:v>-1.21472338850814E-3</c:v>
                </c:pt>
                <c:pt idx="18">
                  <c:v>-1.1786873024979901E-3</c:v>
                </c:pt>
                <c:pt idx="19">
                  <c:v>-1.1118084639736999E-3</c:v>
                </c:pt>
                <c:pt idx="20">
                  <c:v>-1.0471344223238401E-3</c:v>
                </c:pt>
                <c:pt idx="21">
                  <c:v>-4.5013194504641899E-4</c:v>
                </c:pt>
                <c:pt idx="22">
                  <c:v>4.8220496381879801E-4</c:v>
                </c:pt>
                <c:pt idx="23">
                  <c:v>1.62038385778813E-3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5D-4646-9E47-6EA1C5FC6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739912"/>
        <c:axId val="429738344"/>
      </c:lineChart>
      <c:catAx>
        <c:axId val="429739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9738344"/>
        <c:crosses val="autoZero"/>
        <c:auto val="1"/>
        <c:lblAlgn val="ctr"/>
        <c:lblOffset val="100"/>
        <c:noMultiLvlLbl val="0"/>
      </c:catAx>
      <c:valAx>
        <c:axId val="429738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9739912"/>
        <c:crosses val="autoZero"/>
        <c:crossBetween val="between"/>
        <c:majorUnit val="5.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4377602589339795"/>
          <c:y val="0.45798546920765337"/>
          <c:w val="0.98440528467595401"/>
          <c:h val="0.6869782038114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Curva Factor de descuento Eonia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Curvas_antiguas!$R$4</c:f>
              <c:strCache>
                <c:ptCount val="1"/>
                <c:pt idx="0">
                  <c:v>03/10/2005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Curvas_antiguas!$B$5:$B$28</c:f>
              <c:strCache>
                <c:ptCount val="24"/>
                <c:pt idx="0">
                  <c:v>ON</c:v>
                </c:pt>
                <c:pt idx="1">
                  <c:v>TN</c:v>
                </c:pt>
                <c:pt idx="2">
                  <c:v>1W</c:v>
                </c:pt>
                <c:pt idx="3">
                  <c:v>2W</c:v>
                </c:pt>
                <c:pt idx="4">
                  <c:v>3W</c:v>
                </c:pt>
                <c:pt idx="5">
                  <c:v>1M</c:v>
                </c:pt>
                <c:pt idx="6">
                  <c:v>2M</c:v>
                </c:pt>
                <c:pt idx="7">
                  <c:v>3M</c:v>
                </c:pt>
                <c:pt idx="8">
                  <c:v>4M</c:v>
                </c:pt>
                <c:pt idx="9">
                  <c:v>5M</c:v>
                </c:pt>
                <c:pt idx="10">
                  <c:v>6M</c:v>
                </c:pt>
                <c:pt idx="11">
                  <c:v>7M</c:v>
                </c:pt>
                <c:pt idx="12">
                  <c:v>8M</c:v>
                </c:pt>
                <c:pt idx="13">
                  <c:v>9M</c:v>
                </c:pt>
                <c:pt idx="14">
                  <c:v>10M</c:v>
                </c:pt>
                <c:pt idx="15">
                  <c:v>11M</c:v>
                </c:pt>
                <c:pt idx="16">
                  <c:v>12M</c:v>
                </c:pt>
                <c:pt idx="17">
                  <c:v>15M</c:v>
                </c:pt>
                <c:pt idx="18">
                  <c:v>18M</c:v>
                </c:pt>
                <c:pt idx="19">
                  <c:v>21M</c:v>
                </c:pt>
                <c:pt idx="20">
                  <c:v>2Y</c:v>
                </c:pt>
                <c:pt idx="21">
                  <c:v>3Y</c:v>
                </c:pt>
                <c:pt idx="22">
                  <c:v>4Y</c:v>
                </c:pt>
                <c:pt idx="23">
                  <c:v>5Y</c:v>
                </c:pt>
              </c:strCache>
            </c:strRef>
          </c:cat>
          <c:val>
            <c:numRef>
              <c:f>Curvas_antiguas!$R$5:$R$28</c:f>
              <c:numCache>
                <c:formatCode>0.000000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7E0-473A-8B96-3B91FB2631BC}"/>
            </c:ext>
          </c:extLst>
        </c:ser>
        <c:ser>
          <c:idx val="1"/>
          <c:order val="1"/>
          <c:tx>
            <c:strRef>
              <c:f>Curvas_antiguas!$S$4</c:f>
              <c:strCache>
                <c:ptCount val="1"/>
                <c:pt idx="0">
                  <c:v>02/07/2007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Curvas_antiguas!$B$5:$B$28</c:f>
              <c:strCache>
                <c:ptCount val="24"/>
                <c:pt idx="0">
                  <c:v>ON</c:v>
                </c:pt>
                <c:pt idx="1">
                  <c:v>TN</c:v>
                </c:pt>
                <c:pt idx="2">
                  <c:v>1W</c:v>
                </c:pt>
                <c:pt idx="3">
                  <c:v>2W</c:v>
                </c:pt>
                <c:pt idx="4">
                  <c:v>3W</c:v>
                </c:pt>
                <c:pt idx="5">
                  <c:v>1M</c:v>
                </c:pt>
                <c:pt idx="6">
                  <c:v>2M</c:v>
                </c:pt>
                <c:pt idx="7">
                  <c:v>3M</c:v>
                </c:pt>
                <c:pt idx="8">
                  <c:v>4M</c:v>
                </c:pt>
                <c:pt idx="9">
                  <c:v>5M</c:v>
                </c:pt>
                <c:pt idx="10">
                  <c:v>6M</c:v>
                </c:pt>
                <c:pt idx="11">
                  <c:v>7M</c:v>
                </c:pt>
                <c:pt idx="12">
                  <c:v>8M</c:v>
                </c:pt>
                <c:pt idx="13">
                  <c:v>9M</c:v>
                </c:pt>
                <c:pt idx="14">
                  <c:v>10M</c:v>
                </c:pt>
                <c:pt idx="15">
                  <c:v>11M</c:v>
                </c:pt>
                <c:pt idx="16">
                  <c:v>12M</c:v>
                </c:pt>
                <c:pt idx="17">
                  <c:v>15M</c:v>
                </c:pt>
                <c:pt idx="18">
                  <c:v>18M</c:v>
                </c:pt>
                <c:pt idx="19">
                  <c:v>21M</c:v>
                </c:pt>
                <c:pt idx="20">
                  <c:v>2Y</c:v>
                </c:pt>
                <c:pt idx="21">
                  <c:v>3Y</c:v>
                </c:pt>
                <c:pt idx="22">
                  <c:v>4Y</c:v>
                </c:pt>
                <c:pt idx="23">
                  <c:v>5Y</c:v>
                </c:pt>
              </c:strCache>
            </c:strRef>
          </c:cat>
          <c:val>
            <c:numRef>
              <c:f>Curvas_antiguas!$S$5:$S$28</c:f>
              <c:numCache>
                <c:formatCode>0.000000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7E0-473A-8B96-3B91FB2631BC}"/>
            </c:ext>
          </c:extLst>
        </c:ser>
        <c:ser>
          <c:idx val="2"/>
          <c:order val="2"/>
          <c:tx>
            <c:strRef>
              <c:f>Curvas_antiguas!$T$4</c:f>
              <c:strCache>
                <c:ptCount val="1"/>
                <c:pt idx="0">
                  <c:v>22/05/2015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Curvas_antiguas!$B$5:$B$28</c:f>
              <c:strCache>
                <c:ptCount val="24"/>
                <c:pt idx="0">
                  <c:v>ON</c:v>
                </c:pt>
                <c:pt idx="1">
                  <c:v>TN</c:v>
                </c:pt>
                <c:pt idx="2">
                  <c:v>1W</c:v>
                </c:pt>
                <c:pt idx="3">
                  <c:v>2W</c:v>
                </c:pt>
                <c:pt idx="4">
                  <c:v>3W</c:v>
                </c:pt>
                <c:pt idx="5">
                  <c:v>1M</c:v>
                </c:pt>
                <c:pt idx="6">
                  <c:v>2M</c:v>
                </c:pt>
                <c:pt idx="7">
                  <c:v>3M</c:v>
                </c:pt>
                <c:pt idx="8">
                  <c:v>4M</c:v>
                </c:pt>
                <c:pt idx="9">
                  <c:v>5M</c:v>
                </c:pt>
                <c:pt idx="10">
                  <c:v>6M</c:v>
                </c:pt>
                <c:pt idx="11">
                  <c:v>7M</c:v>
                </c:pt>
                <c:pt idx="12">
                  <c:v>8M</c:v>
                </c:pt>
                <c:pt idx="13">
                  <c:v>9M</c:v>
                </c:pt>
                <c:pt idx="14">
                  <c:v>10M</c:v>
                </c:pt>
                <c:pt idx="15">
                  <c:v>11M</c:v>
                </c:pt>
                <c:pt idx="16">
                  <c:v>12M</c:v>
                </c:pt>
                <c:pt idx="17">
                  <c:v>15M</c:v>
                </c:pt>
                <c:pt idx="18">
                  <c:v>18M</c:v>
                </c:pt>
                <c:pt idx="19">
                  <c:v>21M</c:v>
                </c:pt>
                <c:pt idx="20">
                  <c:v>2Y</c:v>
                </c:pt>
                <c:pt idx="21">
                  <c:v>3Y</c:v>
                </c:pt>
                <c:pt idx="22">
                  <c:v>4Y</c:v>
                </c:pt>
                <c:pt idx="23">
                  <c:v>5Y</c:v>
                </c:pt>
              </c:strCache>
            </c:strRef>
          </c:cat>
          <c:val>
            <c:numRef>
              <c:f>Curvas_antiguas!$T$5:$T$28</c:f>
              <c:numCache>
                <c:formatCode>0.000000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7E0-473A-8B96-3B91FB263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736384"/>
        <c:axId val="429736776"/>
      </c:lineChart>
      <c:catAx>
        <c:axId val="42973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9736776"/>
        <c:crosses val="autoZero"/>
        <c:auto val="1"/>
        <c:lblAlgn val="ctr"/>
        <c:lblOffset val="100"/>
        <c:noMultiLvlLbl val="0"/>
      </c:catAx>
      <c:valAx>
        <c:axId val="429736776"/>
        <c:scaling>
          <c:orientation val="minMax"/>
          <c:max val="1.01"/>
          <c:min val="0.750000000000000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429736384"/>
        <c:crosses val="autoZero"/>
        <c:crossBetween val="between"/>
        <c:majorUnit val="5.000000000000001E-2"/>
        <c:minorUnit val="2.0000000000000005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4471051781609741"/>
          <c:y val="0.45508691848301569"/>
          <c:w val="0.98450001097533069"/>
          <c:h val="0.6840796530868423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6.png"/><Relationship Id="rId1" Type="http://schemas.openxmlformats.org/officeDocument/2006/relationships/image" Target="../media/image7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w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44450</xdr:colOff>
          <xdr:row>3</xdr:row>
          <xdr:rowOff>76200</xdr:rowOff>
        </xdr:from>
        <xdr:to>
          <xdr:col>14</xdr:col>
          <xdr:colOff>38100</xdr:colOff>
          <xdr:row>6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C716754-8185-493E-B3C9-83E3C13F0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Calcular Curva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755650</xdr:colOff>
          <xdr:row>3</xdr:row>
          <xdr:rowOff>82550</xdr:rowOff>
        </xdr:from>
        <xdr:to>
          <xdr:col>16</xdr:col>
          <xdr:colOff>654050</xdr:colOff>
          <xdr:row>6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423E14BD-AC7A-4EB1-9425-16CC45755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Curva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60960</xdr:colOff>
      <xdr:row>32</xdr:row>
      <xdr:rowOff>53340</xdr:rowOff>
    </xdr:from>
    <xdr:to>
      <xdr:col>4</xdr:col>
      <xdr:colOff>1036320</xdr:colOff>
      <xdr:row>34</xdr:row>
      <xdr:rowOff>175260</xdr:rowOff>
    </xdr:to>
    <xdr:pic>
      <xdr:nvPicPr>
        <xdr:cNvPr id="427240" name="Imagen 1">
          <a:extLst>
            <a:ext uri="{FF2B5EF4-FFF2-40B4-BE49-F238E27FC236}">
              <a16:creationId xmlns="" xmlns:a16="http://schemas.microsoft.com/office/drawing/2014/main" id="{47FFD3D8-52BF-4B2B-9D45-3BE3826AB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2120" y="6164580"/>
          <a:ext cx="1859280" cy="4876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68580</xdr:colOff>
      <xdr:row>35</xdr:row>
      <xdr:rowOff>53340</xdr:rowOff>
    </xdr:from>
    <xdr:to>
      <xdr:col>5</xdr:col>
      <xdr:colOff>617220</xdr:colOff>
      <xdr:row>37</xdr:row>
      <xdr:rowOff>121920</xdr:rowOff>
    </xdr:to>
    <xdr:pic>
      <xdr:nvPicPr>
        <xdr:cNvPr id="427241" name="Imagen 2">
          <a:extLst>
            <a:ext uri="{FF2B5EF4-FFF2-40B4-BE49-F238E27FC236}">
              <a16:creationId xmlns="" xmlns:a16="http://schemas.microsoft.com/office/drawing/2014/main" id="{9D9E3186-4226-4038-BDF2-24CBC7977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9740" y="6713220"/>
          <a:ext cx="25374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30480</xdr:colOff>
      <xdr:row>38</xdr:row>
      <xdr:rowOff>38100</xdr:rowOff>
    </xdr:from>
    <xdr:to>
      <xdr:col>5</xdr:col>
      <xdr:colOff>609600</xdr:colOff>
      <xdr:row>40</xdr:row>
      <xdr:rowOff>121920</xdr:rowOff>
    </xdr:to>
    <xdr:pic>
      <xdr:nvPicPr>
        <xdr:cNvPr id="427242" name="Imagen 3">
          <a:extLst>
            <a:ext uri="{FF2B5EF4-FFF2-40B4-BE49-F238E27FC236}">
              <a16:creationId xmlns="" xmlns:a16="http://schemas.microsoft.com/office/drawing/2014/main" id="{6457842F-7089-43FA-9CBC-EEA346088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1640" y="7246620"/>
          <a:ext cx="256794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38100</xdr:colOff>
      <xdr:row>40</xdr:row>
      <xdr:rowOff>99060</xdr:rowOff>
    </xdr:from>
    <xdr:to>
      <xdr:col>7</xdr:col>
      <xdr:colOff>586740</xdr:colOff>
      <xdr:row>44</xdr:row>
      <xdr:rowOff>121920</xdr:rowOff>
    </xdr:to>
    <xdr:pic>
      <xdr:nvPicPr>
        <xdr:cNvPr id="427243" name="Imagen 4">
          <a:extLst>
            <a:ext uri="{FF2B5EF4-FFF2-40B4-BE49-F238E27FC236}">
              <a16:creationId xmlns="" xmlns:a16="http://schemas.microsoft.com/office/drawing/2014/main" id="{73DDDB33-502D-4714-ACF9-BAF306BE7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9260" y="7673340"/>
          <a:ext cx="4259580" cy="7543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121920</xdr:colOff>
      <xdr:row>48</xdr:row>
      <xdr:rowOff>7620</xdr:rowOff>
    </xdr:from>
    <xdr:to>
      <xdr:col>8</xdr:col>
      <xdr:colOff>906780</xdr:colOff>
      <xdr:row>57</xdr:row>
      <xdr:rowOff>167640</xdr:rowOff>
    </xdr:to>
    <xdr:pic>
      <xdr:nvPicPr>
        <xdr:cNvPr id="427244" name="Imagen 5">
          <a:extLst>
            <a:ext uri="{FF2B5EF4-FFF2-40B4-BE49-F238E27FC236}">
              <a16:creationId xmlns="" xmlns:a16="http://schemas.microsoft.com/office/drawing/2014/main" id="{72FA2CB5-5021-4E70-8BB6-63F84441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3080" y="9044940"/>
          <a:ext cx="5410200" cy="1805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44</xdr:row>
      <xdr:rowOff>175260</xdr:rowOff>
    </xdr:from>
    <xdr:to>
      <xdr:col>4</xdr:col>
      <xdr:colOff>205740</xdr:colOff>
      <xdr:row>46</xdr:row>
      <xdr:rowOff>7620</xdr:rowOff>
    </xdr:to>
    <xdr:pic>
      <xdr:nvPicPr>
        <xdr:cNvPr id="427245" name="Imagen 6">
          <a:extLst>
            <a:ext uri="{FF2B5EF4-FFF2-40B4-BE49-F238E27FC236}">
              <a16:creationId xmlns="" xmlns:a16="http://schemas.microsoft.com/office/drawing/2014/main" id="{99D98CE6-C5FC-4C2C-B04F-B6718EA65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7360" y="8481060"/>
          <a:ext cx="101346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815340</xdr:colOff>
      <xdr:row>32</xdr:row>
      <xdr:rowOff>91440</xdr:rowOff>
    </xdr:from>
    <xdr:to>
      <xdr:col>20</xdr:col>
      <xdr:colOff>1196340</xdr:colOff>
      <xdr:row>51</xdr:row>
      <xdr:rowOff>0</xdr:rowOff>
    </xdr:to>
    <xdr:graphicFrame macro="">
      <xdr:nvGraphicFramePr>
        <xdr:cNvPr id="427246" name="Gráfico 1">
          <a:extLst>
            <a:ext uri="{FF2B5EF4-FFF2-40B4-BE49-F238E27FC236}">
              <a16:creationId xmlns="" xmlns:a16="http://schemas.microsoft.com/office/drawing/2014/main" id="{9318813A-EC48-4EAB-8CCC-C3305809A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787400</xdr:colOff>
          <xdr:row>1</xdr:row>
          <xdr:rowOff>63500</xdr:rowOff>
        </xdr:from>
        <xdr:to>
          <xdr:col>12</xdr:col>
          <xdr:colOff>755650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B6665080-6D13-493E-8DE7-B93DC4306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Calcula Curva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1</xdr:row>
          <xdr:rowOff>50800</xdr:rowOff>
        </xdr:from>
        <xdr:to>
          <xdr:col>14</xdr:col>
          <xdr:colOff>641350</xdr:colOff>
          <xdr:row>4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BBCEDB1C-6D6E-4572-92BB-BEF1E6DBD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Curva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106680</xdr:colOff>
      <xdr:row>42</xdr:row>
      <xdr:rowOff>99060</xdr:rowOff>
    </xdr:from>
    <xdr:to>
      <xdr:col>8</xdr:col>
      <xdr:colOff>807720</xdr:colOff>
      <xdr:row>47</xdr:row>
      <xdr:rowOff>144780</xdr:rowOff>
    </xdr:to>
    <xdr:pic>
      <xdr:nvPicPr>
        <xdr:cNvPr id="358866" name="Imagen 2">
          <a:extLst>
            <a:ext uri="{FF2B5EF4-FFF2-40B4-BE49-F238E27FC236}">
              <a16:creationId xmlns="" xmlns:a16="http://schemas.microsoft.com/office/drawing/2014/main" id="{E0F7BFC7-C49E-4DC2-8B5C-069B08137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" y="8039100"/>
          <a:ext cx="5532120" cy="960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129540</xdr:colOff>
      <xdr:row>41</xdr:row>
      <xdr:rowOff>0</xdr:rowOff>
    </xdr:from>
    <xdr:to>
      <xdr:col>3</xdr:col>
      <xdr:colOff>647700</xdr:colOff>
      <xdr:row>42</xdr:row>
      <xdr:rowOff>7620</xdr:rowOff>
    </xdr:to>
    <xdr:pic>
      <xdr:nvPicPr>
        <xdr:cNvPr id="358867" name="Imagen 6">
          <a:extLst>
            <a:ext uri="{FF2B5EF4-FFF2-40B4-BE49-F238E27FC236}">
              <a16:creationId xmlns="" xmlns:a16="http://schemas.microsoft.com/office/drawing/2014/main" id="{FB353173-6007-4C8A-8481-BBBF0C35B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980" y="7757160"/>
          <a:ext cx="99822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182880</xdr:colOff>
      <xdr:row>48</xdr:row>
      <xdr:rowOff>91440</xdr:rowOff>
    </xdr:from>
    <xdr:to>
      <xdr:col>7</xdr:col>
      <xdr:colOff>213360</xdr:colOff>
      <xdr:row>55</xdr:row>
      <xdr:rowOff>99060</xdr:rowOff>
    </xdr:to>
    <xdr:pic>
      <xdr:nvPicPr>
        <xdr:cNvPr id="358868" name="Imagen 3">
          <a:extLst>
            <a:ext uri="{FF2B5EF4-FFF2-40B4-BE49-F238E27FC236}">
              <a16:creationId xmlns="" xmlns:a16="http://schemas.microsoft.com/office/drawing/2014/main" id="{9661E162-70CB-4053-85FA-EE12749F3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9340" y="9128760"/>
          <a:ext cx="2537460" cy="1287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198120</xdr:colOff>
      <xdr:row>32</xdr:row>
      <xdr:rowOff>175260</xdr:rowOff>
    </xdr:from>
    <xdr:to>
      <xdr:col>5</xdr:col>
      <xdr:colOff>495300</xdr:colOff>
      <xdr:row>34</xdr:row>
      <xdr:rowOff>60960</xdr:rowOff>
    </xdr:to>
    <xdr:pic>
      <xdr:nvPicPr>
        <xdr:cNvPr id="358869" name="Imagen 4">
          <a:extLst>
            <a:ext uri="{FF2B5EF4-FFF2-40B4-BE49-F238E27FC236}">
              <a16:creationId xmlns="" xmlns:a16="http://schemas.microsoft.com/office/drawing/2014/main" id="{B020AEF0-ED51-4087-83BC-E39B17230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1560" y="6286500"/>
          <a:ext cx="242316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510540</xdr:colOff>
      <xdr:row>33</xdr:row>
      <xdr:rowOff>0</xdr:rowOff>
    </xdr:from>
    <xdr:to>
      <xdr:col>7</xdr:col>
      <xdr:colOff>205740</xdr:colOff>
      <xdr:row>34</xdr:row>
      <xdr:rowOff>38100</xdr:rowOff>
    </xdr:to>
    <xdr:pic>
      <xdr:nvPicPr>
        <xdr:cNvPr id="358870" name="Imagen 5">
          <a:extLst>
            <a:ext uri="{FF2B5EF4-FFF2-40B4-BE49-F238E27FC236}">
              <a16:creationId xmlns="" xmlns:a16="http://schemas.microsoft.com/office/drawing/2014/main" id="{7E0B6153-78D5-4C1C-8C1E-28FB4D218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9960" y="6294120"/>
          <a:ext cx="1379220" cy="2209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106680</xdr:colOff>
      <xdr:row>35</xdr:row>
      <xdr:rowOff>152400</xdr:rowOff>
    </xdr:from>
    <xdr:to>
      <xdr:col>5</xdr:col>
      <xdr:colOff>1013460</xdr:colOff>
      <xdr:row>37</xdr:row>
      <xdr:rowOff>76200</xdr:rowOff>
    </xdr:to>
    <xdr:pic>
      <xdr:nvPicPr>
        <xdr:cNvPr id="358871" name="Imagen 6">
          <a:extLst>
            <a:ext uri="{FF2B5EF4-FFF2-40B4-BE49-F238E27FC236}">
              <a16:creationId xmlns="" xmlns:a16="http://schemas.microsoft.com/office/drawing/2014/main" id="{1E963869-D7A7-4053-916A-5C272E54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" y="6812280"/>
          <a:ext cx="3032760" cy="28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1036320</xdr:colOff>
      <xdr:row>36</xdr:row>
      <xdr:rowOff>0</xdr:rowOff>
    </xdr:from>
    <xdr:to>
      <xdr:col>7</xdr:col>
      <xdr:colOff>723900</xdr:colOff>
      <xdr:row>37</xdr:row>
      <xdr:rowOff>38100</xdr:rowOff>
    </xdr:to>
    <xdr:pic>
      <xdr:nvPicPr>
        <xdr:cNvPr id="358872" name="Imagen 12">
          <a:extLst>
            <a:ext uri="{FF2B5EF4-FFF2-40B4-BE49-F238E27FC236}">
              <a16:creationId xmlns="" xmlns:a16="http://schemas.microsoft.com/office/drawing/2014/main" id="{FB89BB44-C769-4330-9C27-A91C9CEB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5740" y="6842760"/>
          <a:ext cx="1371600" cy="2209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160020</xdr:colOff>
      <xdr:row>37</xdr:row>
      <xdr:rowOff>121920</xdr:rowOff>
    </xdr:from>
    <xdr:to>
      <xdr:col>5</xdr:col>
      <xdr:colOff>373380</xdr:colOff>
      <xdr:row>39</xdr:row>
      <xdr:rowOff>53340</xdr:rowOff>
    </xdr:to>
    <xdr:pic>
      <xdr:nvPicPr>
        <xdr:cNvPr id="358873" name="Imagen 8">
          <a:extLst>
            <a:ext uri="{FF2B5EF4-FFF2-40B4-BE49-F238E27FC236}">
              <a16:creationId xmlns="" xmlns:a16="http://schemas.microsoft.com/office/drawing/2014/main" id="{EBB4D2C3-7697-46AF-8861-D0D8F58EC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3460" y="7147560"/>
          <a:ext cx="2339340" cy="297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28</xdr:col>
      <xdr:colOff>685800</xdr:colOff>
      <xdr:row>20</xdr:row>
      <xdr:rowOff>91440</xdr:rowOff>
    </xdr:from>
    <xdr:to>
      <xdr:col>40</xdr:col>
      <xdr:colOff>716280</xdr:colOff>
      <xdr:row>36</xdr:row>
      <xdr:rowOff>15240</xdr:rowOff>
    </xdr:to>
    <xdr:graphicFrame macro="">
      <xdr:nvGraphicFramePr>
        <xdr:cNvPr id="358874" name="Gráfico 1">
          <a:extLst>
            <a:ext uri="{FF2B5EF4-FFF2-40B4-BE49-F238E27FC236}">
              <a16:creationId xmlns="" xmlns:a16="http://schemas.microsoft.com/office/drawing/2014/main" id="{B46EBAE0-DFC4-4502-80FA-F835F9C39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693420</xdr:colOff>
      <xdr:row>37</xdr:row>
      <xdr:rowOff>99060</xdr:rowOff>
    </xdr:from>
    <xdr:to>
      <xdr:col>40</xdr:col>
      <xdr:colOff>723900</xdr:colOff>
      <xdr:row>53</xdr:row>
      <xdr:rowOff>144780</xdr:rowOff>
    </xdr:to>
    <xdr:graphicFrame macro="">
      <xdr:nvGraphicFramePr>
        <xdr:cNvPr id="358875" name="Gráfico 14">
          <a:extLst>
            <a:ext uri="{FF2B5EF4-FFF2-40B4-BE49-F238E27FC236}">
              <a16:creationId xmlns="" xmlns:a16="http://schemas.microsoft.com/office/drawing/2014/main" id="{5A0AC192-F8CF-44E2-9D0E-27B7E21887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33</xdr:row>
      <xdr:rowOff>129540</xdr:rowOff>
    </xdr:from>
    <xdr:to>
      <xdr:col>14</xdr:col>
      <xdr:colOff>167640</xdr:colOff>
      <xdr:row>48</xdr:row>
      <xdr:rowOff>15240</xdr:rowOff>
    </xdr:to>
    <xdr:graphicFrame macro="">
      <xdr:nvGraphicFramePr>
        <xdr:cNvPr id="10389" name="Gráfico 1">
          <a:extLst>
            <a:ext uri="{FF2B5EF4-FFF2-40B4-BE49-F238E27FC236}">
              <a16:creationId xmlns="" xmlns:a16="http://schemas.microsoft.com/office/drawing/2014/main" id="{132A7D1B-DAA6-4198-AE54-87603CB48A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388620</xdr:colOff>
      <xdr:row>6</xdr:row>
      <xdr:rowOff>38100</xdr:rowOff>
    </xdr:from>
    <xdr:to>
      <xdr:col>14</xdr:col>
      <xdr:colOff>121920</xdr:colOff>
      <xdr:row>20</xdr:row>
      <xdr:rowOff>106680</xdr:rowOff>
    </xdr:to>
    <xdr:graphicFrame macro="">
      <xdr:nvGraphicFramePr>
        <xdr:cNvPr id="10390" name="Gráfico 3">
          <a:extLst>
            <a:ext uri="{FF2B5EF4-FFF2-40B4-BE49-F238E27FC236}">
              <a16:creationId xmlns="" xmlns:a16="http://schemas.microsoft.com/office/drawing/2014/main" id="{DB148176-4391-4F23-9B75-2B10177C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251460</xdr:colOff>
      <xdr:row>6</xdr:row>
      <xdr:rowOff>129540</xdr:rowOff>
    </xdr:from>
    <xdr:to>
      <xdr:col>28</xdr:col>
      <xdr:colOff>289560</xdr:colOff>
      <xdr:row>21</xdr:row>
      <xdr:rowOff>15240</xdr:rowOff>
    </xdr:to>
    <xdr:graphicFrame macro="">
      <xdr:nvGraphicFramePr>
        <xdr:cNvPr id="10391" name="Gráfico 3">
          <a:extLst>
            <a:ext uri="{FF2B5EF4-FFF2-40B4-BE49-F238E27FC236}">
              <a16:creationId xmlns="" xmlns:a16="http://schemas.microsoft.com/office/drawing/2014/main" id="{B79446A7-1068-48A3-9185-81D09EF450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5</xdr:col>
      <xdr:colOff>533400</xdr:colOff>
      <xdr:row>8</xdr:row>
      <xdr:rowOff>53340</xdr:rowOff>
    </xdr:to>
    <xdr:pic>
      <xdr:nvPicPr>
        <xdr:cNvPr id="388182" name="Imagen 1">
          <a:extLst>
            <a:ext uri="{FF2B5EF4-FFF2-40B4-BE49-F238E27FC236}">
              <a16:creationId xmlns="" xmlns:a16="http://schemas.microsoft.com/office/drawing/2014/main" id="{4A02FB2D-6DA8-4B23-B208-1E35AEB6261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365760"/>
          <a:ext cx="3703320" cy="1150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184638</xdr:colOff>
      <xdr:row>1</xdr:row>
      <xdr:rowOff>150641</xdr:rowOff>
    </xdr:from>
    <xdr:to>
      <xdr:col>15</xdr:col>
      <xdr:colOff>95383</xdr:colOff>
      <xdr:row>5</xdr:row>
      <xdr:rowOff>121249</xdr:rowOff>
    </xdr:to>
    <xdr:sp macro="" textlink="">
      <xdr:nvSpPr>
        <xdr:cNvPr id="3" name="Rectangle 3">
          <a:extLst>
            <a:ext uri="{FF2B5EF4-FFF2-40B4-BE49-F238E27FC236}">
              <a16:creationId xmlns="" xmlns:a16="http://schemas.microsoft.com/office/drawing/2014/main" id="{1F66D8C4-3D02-42E1-9DE1-B703A4DFB54F}"/>
            </a:ext>
          </a:extLst>
        </xdr:cNvPr>
        <xdr:cNvSpPr>
          <a:spLocks noGrp="1" noChangeArrowheads="1"/>
        </xdr:cNvSpPr>
      </xdr:nvSpPr>
      <xdr:spPr bwMode="auto">
        <a:xfrm>
          <a:off x="5368143" y="539261"/>
          <a:ext cx="4576094" cy="724976"/>
        </a:xfrm>
        <a:prstGeom prst="rect">
          <a:avLst/>
        </a:prstGeom>
        <a:noFill/>
        <a:ln>
          <a:noFill/>
        </a:ln>
        <a:extLst>
          <a:ext uri="{909E8E84-426E-40dd-AFC4-6F175D3DCCD1}"/>
          <a:ext uri="{91240B29-F687-4f45-9708-019B960494DF}"/>
          <a:ext uri="{FAA26D3D-D897-4be2-8F04-BA451C77F1D7}"/>
        </a:extLst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lvl1pPr marL="273050" indent="-273050" algn="just" rtl="0" eaLnBrk="0" fontAlgn="base" hangingPunct="0">
            <a:spcBef>
              <a:spcPts val="600"/>
            </a:spcBef>
            <a:spcAft>
              <a:spcPts val="600"/>
            </a:spcAft>
            <a:buFont typeface="Wingdings" charset="2"/>
            <a:buChar char="q"/>
            <a:defRPr lang="es-ES" sz="1800" b="0" dirty="0" smtClean="0">
              <a:solidFill>
                <a:srgbClr val="263974"/>
              </a:solidFill>
              <a:latin typeface="+mn-lt"/>
              <a:ea typeface="ＭＳ Ｐゴシック" charset="0"/>
              <a:cs typeface="+mn-cs"/>
            </a:defRPr>
          </a:lvl1pPr>
          <a:lvl2pPr marL="649287" indent="-285750" algn="just" rtl="0" eaLnBrk="0" fontAlgn="base" hangingPunct="0">
            <a:spcBef>
              <a:spcPts val="600"/>
            </a:spcBef>
            <a:spcAft>
              <a:spcPts val="600"/>
            </a:spcAft>
            <a:buFont typeface="Lucida Grande"/>
            <a:buNone/>
            <a:defRPr lang="es-ES" sz="1800" b="0" dirty="0" smtClean="0">
              <a:solidFill>
                <a:srgbClr val="263974"/>
              </a:solidFill>
              <a:latin typeface="+mn-lt"/>
              <a:ea typeface="Arial" charset="0"/>
              <a:cs typeface="+mn-cs"/>
            </a:defRPr>
          </a:lvl2pPr>
          <a:lvl3pPr marL="649287" indent="-285750" algn="just" defTabSz="893763" rtl="0" eaLnBrk="0" fontAlgn="base" hangingPunct="0">
            <a:spcBef>
              <a:spcPts val="600"/>
            </a:spcBef>
            <a:spcAft>
              <a:spcPts val="600"/>
            </a:spcAft>
            <a:buSzPct val="100000"/>
            <a:buFont typeface="Lucida Grande"/>
            <a:buNone/>
            <a:tabLst>
              <a:tab pos="893763" algn="l"/>
              <a:tab pos="1698625" algn="l"/>
            </a:tabLst>
            <a:defRPr lang="es-ES" sz="1800" dirty="0" smtClean="0">
              <a:solidFill>
                <a:srgbClr val="263974"/>
              </a:solidFill>
              <a:latin typeface="+mn-lt"/>
              <a:ea typeface="Arial" charset="0"/>
              <a:cs typeface="+mn-cs"/>
            </a:defRPr>
          </a:lvl3pPr>
          <a:lvl4pPr marL="903288" indent="-285750" algn="just" rtl="0" eaLnBrk="0" fontAlgn="base" hangingPunct="0">
            <a:spcBef>
              <a:spcPts val="600"/>
            </a:spcBef>
            <a:spcAft>
              <a:spcPts val="600"/>
            </a:spcAft>
            <a:buSzPct val="100000"/>
            <a:buFont typeface="Courier New"/>
            <a:buChar char="o"/>
            <a:tabLst>
              <a:tab pos="1698625" algn="l"/>
            </a:tabLst>
            <a:defRPr sz="1800" b="0">
              <a:solidFill>
                <a:srgbClr val="263974"/>
              </a:solidFill>
              <a:latin typeface="+mn-lt"/>
              <a:ea typeface="Arial" charset="0"/>
              <a:cs typeface="+mn-cs"/>
            </a:defRPr>
          </a:lvl4pPr>
          <a:lvl5pPr marL="1358900" indent="-285750" algn="just" rtl="0" eaLnBrk="0" fontAlgn="base" hangingPunct="0">
            <a:spcBef>
              <a:spcPts val="600"/>
            </a:spcBef>
            <a:spcAft>
              <a:spcPts val="600"/>
            </a:spcAft>
            <a:buSzPct val="100000"/>
            <a:buFont typeface="Lucida Grande" charset="0"/>
            <a:buNone/>
            <a:tabLst>
              <a:tab pos="1698625" algn="l"/>
            </a:tabLst>
            <a:defRPr lang="en-GB" sz="1800" dirty="0">
              <a:solidFill>
                <a:srgbClr val="263974"/>
              </a:solidFill>
              <a:latin typeface="+mn-lt"/>
              <a:ea typeface="Arial" charset="0"/>
              <a:cs typeface="+mn-cs"/>
            </a:defRPr>
          </a:lvl5pPr>
          <a:lvl6pPr marL="2711450" indent="-120650" algn="just" rtl="0" eaLnBrk="1" fontAlgn="base" hangingPunct="1">
            <a:spcBef>
              <a:spcPct val="75000"/>
            </a:spcBef>
            <a:spcAft>
              <a:spcPct val="0"/>
            </a:spcAft>
            <a:buSzPct val="75000"/>
            <a:buChar char="•"/>
            <a:defRPr sz="1400">
              <a:solidFill>
                <a:srgbClr val="1D4D81"/>
              </a:solidFill>
              <a:latin typeface="+mn-lt"/>
              <a:cs typeface="+mn-cs"/>
            </a:defRPr>
          </a:lvl6pPr>
          <a:lvl7pPr marL="3168650" indent="-120650" algn="just" rtl="0" eaLnBrk="1" fontAlgn="base" hangingPunct="1">
            <a:spcBef>
              <a:spcPct val="75000"/>
            </a:spcBef>
            <a:spcAft>
              <a:spcPct val="0"/>
            </a:spcAft>
            <a:buSzPct val="75000"/>
            <a:buChar char="•"/>
            <a:defRPr sz="1400">
              <a:solidFill>
                <a:srgbClr val="1D4D81"/>
              </a:solidFill>
              <a:latin typeface="+mn-lt"/>
              <a:cs typeface="+mn-cs"/>
            </a:defRPr>
          </a:lvl7pPr>
          <a:lvl8pPr marL="3625850" indent="-120650" algn="just" rtl="0" eaLnBrk="1" fontAlgn="base" hangingPunct="1">
            <a:spcBef>
              <a:spcPct val="75000"/>
            </a:spcBef>
            <a:spcAft>
              <a:spcPct val="0"/>
            </a:spcAft>
            <a:buSzPct val="75000"/>
            <a:buChar char="•"/>
            <a:defRPr sz="1400">
              <a:solidFill>
                <a:srgbClr val="1D4D81"/>
              </a:solidFill>
              <a:latin typeface="+mn-lt"/>
              <a:cs typeface="+mn-cs"/>
            </a:defRPr>
          </a:lvl8pPr>
          <a:lvl9pPr marL="4083050" indent="-120650" algn="just" rtl="0" eaLnBrk="1" fontAlgn="base" hangingPunct="1">
            <a:spcBef>
              <a:spcPct val="75000"/>
            </a:spcBef>
            <a:spcAft>
              <a:spcPct val="0"/>
            </a:spcAft>
            <a:buSzPct val="75000"/>
            <a:buChar char="•"/>
            <a:defRPr sz="1400">
              <a:solidFill>
                <a:srgbClr val="1D4D81"/>
              </a:solidFill>
              <a:latin typeface="+mn-lt"/>
              <a:cs typeface="+mn-cs"/>
            </a:defRPr>
          </a:lvl9pPr>
        </a:lstStyle>
        <a:p>
          <a:pPr marL="271463" indent="-271463"/>
          <a:r>
            <a:rPr lang="es-ES_tradnl" sz="1000" b="1">
              <a:latin typeface="Arial" charset="0"/>
              <a:cs typeface="Arial" charset="0"/>
            </a:rPr>
            <a:t>Dados los siguientes tipos de interés a 12 y 24 meses, calcular los tipos implícitos 12x24 (Suponga Base Act 360):</a:t>
          </a:r>
        </a:p>
        <a:p>
          <a:pPr marL="271463" indent="-271463"/>
          <a:endParaRPr lang="es-ES_tradnl" sz="1000">
            <a:latin typeface="Arial" charset="0"/>
            <a:cs typeface="Arial" charset="0"/>
          </a:endParaRPr>
        </a:p>
        <a:p>
          <a:pPr marL="655638" lvl="3">
            <a:buFont typeface="Lucida Grande" charset="0"/>
            <a:buChar char="−"/>
            <a:tabLst>
              <a:tab pos="1073150" algn="l"/>
            </a:tabLst>
          </a:pPr>
          <a:r>
            <a:rPr lang="es-ES_tradnl" sz="1000">
              <a:latin typeface="Arial" charset="0"/>
              <a:cs typeface="Arial" charset="0"/>
            </a:rPr>
            <a:t>r12 meses (366 días) = - 0,035%</a:t>
          </a:r>
        </a:p>
        <a:p>
          <a:pPr marL="655638" lvl="3">
            <a:buFont typeface="Lucida Grande" charset="0"/>
            <a:buChar char="−"/>
            <a:tabLst>
              <a:tab pos="1073150" algn="l"/>
            </a:tabLst>
          </a:pPr>
          <a:r>
            <a:rPr lang="es-ES_tradnl" sz="1000">
              <a:latin typeface="Arial" charset="0"/>
              <a:cs typeface="Arial" charset="0"/>
            </a:rPr>
            <a:t>r24 meses (732 días) = - 0,002%</a:t>
          </a:r>
        </a:p>
        <a:p>
          <a:pPr marL="655638" lvl="3">
            <a:buFont typeface="Lucida Grande" charset="0"/>
            <a:buChar char="−"/>
            <a:tabLst>
              <a:tab pos="1073150" algn="l"/>
            </a:tabLst>
          </a:pPr>
          <a:endParaRPr lang="es-ES_tradnl" sz="1000">
            <a:latin typeface="Arial" charset="0"/>
            <a:cs typeface="Arial" charset="0"/>
          </a:endParaRPr>
        </a:p>
        <a:p>
          <a:pPr marL="655638" lvl="3">
            <a:buFont typeface="Lucida Grande" charset="0"/>
            <a:buChar char="−"/>
            <a:tabLst>
              <a:tab pos="1073150" algn="l"/>
            </a:tabLst>
          </a:pPr>
          <a:r>
            <a:rPr lang="es-ES_tradnl" sz="1000">
              <a:latin typeface="Arial" charset="0"/>
              <a:cs typeface="Arial" charset="0"/>
            </a:rPr>
            <a:t>r12 meses (365 días) = - 0,034%; </a:t>
          </a:r>
        </a:p>
        <a:p>
          <a:pPr marL="655638" lvl="3">
            <a:buFont typeface="Lucida Grande" charset="0"/>
            <a:buChar char="−"/>
            <a:tabLst>
              <a:tab pos="1073150" algn="l"/>
            </a:tabLst>
          </a:pPr>
          <a:r>
            <a:rPr lang="es-ES_tradnl" sz="1000">
              <a:latin typeface="Arial" charset="0"/>
              <a:cs typeface="Arial" charset="0"/>
            </a:rPr>
            <a:t>r24 meses (730 días) = - 0,001%;</a:t>
          </a:r>
        </a:p>
        <a:p>
          <a:pPr marL="655638" lvl="3">
            <a:buFont typeface="Lucida Grande" charset="0"/>
            <a:buChar char="−"/>
            <a:tabLst>
              <a:tab pos="1073150" algn="l"/>
            </a:tabLst>
          </a:pPr>
          <a:endParaRPr lang="es-ES_tradnl" sz="1000">
            <a:latin typeface="Arial" charset="0"/>
            <a:cs typeface="Arial" charset="0"/>
          </a:endParaRPr>
        </a:p>
        <a:p>
          <a:pPr marL="655638" lvl="3">
            <a:buFont typeface="Lucida Grande" charset="0"/>
            <a:buChar char="−"/>
            <a:tabLst>
              <a:tab pos="1073150" algn="l"/>
            </a:tabLst>
          </a:pPr>
          <a:r>
            <a:rPr lang="es-ES_tradnl" sz="1000">
              <a:latin typeface="Arial" charset="0"/>
              <a:cs typeface="Arial" charset="0"/>
            </a:rPr>
            <a:t>r12 meses (365 días) = - 0,032%; </a:t>
          </a:r>
        </a:p>
        <a:p>
          <a:pPr marL="655638" lvl="3">
            <a:buFont typeface="Lucida Grande" charset="0"/>
            <a:buChar char="−"/>
            <a:tabLst>
              <a:tab pos="1073150" algn="l"/>
            </a:tabLst>
          </a:pPr>
          <a:r>
            <a:rPr lang="es-ES_tradnl" sz="1000">
              <a:latin typeface="Arial" charset="0"/>
              <a:cs typeface="Arial" charset="0"/>
            </a:rPr>
            <a:t>r24 meses (732 días) = - 0,003%;</a:t>
          </a:r>
        </a:p>
        <a:p>
          <a:pPr marL="271463" indent="-271463"/>
          <a:endParaRPr lang="es-ES_tradnl" sz="1000">
            <a:latin typeface="Arial" charset="0"/>
            <a:cs typeface="Arial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88900</xdr:rowOff>
        </xdr:from>
        <xdr:to>
          <xdr:col>11</xdr:col>
          <xdr:colOff>222250</xdr:colOff>
          <xdr:row>26</xdr:row>
          <xdr:rowOff>88900</xdr:rowOff>
        </xdr:to>
        <xdr:sp macro="" textlink="">
          <xdr:nvSpPr>
            <xdr:cNvPr id="388097" name="Object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="" xmlns:a16="http://schemas.microsoft.com/office/drawing/2014/main" id="{1FFF5BA5-0FB5-4674-8939-78C159C43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165100</xdr:rowOff>
        </xdr:from>
        <xdr:to>
          <xdr:col>11</xdr:col>
          <xdr:colOff>222250</xdr:colOff>
          <xdr:row>30</xdr:row>
          <xdr:rowOff>165100</xdr:rowOff>
        </xdr:to>
        <xdr:sp macro="" textlink="">
          <xdr:nvSpPr>
            <xdr:cNvPr id="388098" name="Object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="" xmlns:a16="http://schemas.microsoft.com/office/drawing/2014/main" id="{9C290000-C56A-4DAD-803B-F3418E896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165100</xdr:rowOff>
        </xdr:from>
        <xdr:to>
          <xdr:col>11</xdr:col>
          <xdr:colOff>222250</xdr:colOff>
          <xdr:row>35</xdr:row>
          <xdr:rowOff>165100</xdr:rowOff>
        </xdr:to>
        <xdr:sp macro="" textlink="">
          <xdr:nvSpPr>
            <xdr:cNvPr id="388099" name="Object 3" hidden="1">
              <a:extLst>
                <a:ext uri="{63B3BB69-23CF-44E3-9099-C40C66FF867C}">
                  <a14:compatExt spid="_x0000_s388099"/>
                </a:ext>
                <a:ext uri="{FF2B5EF4-FFF2-40B4-BE49-F238E27FC236}">
                  <a16:creationId xmlns="" xmlns:a16="http://schemas.microsoft.com/office/drawing/2014/main" id="{E82624DD-CBD2-45CE-B8E1-61679B7E8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812800</xdr:colOff>
          <xdr:row>23</xdr:row>
          <xdr:rowOff>50800</xdr:rowOff>
        </xdr:from>
        <xdr:to>
          <xdr:col>11</xdr:col>
          <xdr:colOff>196850</xdr:colOff>
          <xdr:row>27</xdr:row>
          <xdr:rowOff>50800</xdr:rowOff>
        </xdr:to>
        <xdr:sp macro="" textlink="">
          <xdr:nvSpPr>
            <xdr:cNvPr id="389121" name="Object 1" hidden="1">
              <a:extLst>
                <a:ext uri="{63B3BB69-23CF-44E3-9099-C40C66FF867C}">
                  <a14:compatExt spid="_x0000_s389121"/>
                </a:ext>
                <a:ext uri="{FF2B5EF4-FFF2-40B4-BE49-F238E27FC236}">
                  <a16:creationId xmlns="" xmlns:a16="http://schemas.microsoft.com/office/drawing/2014/main" id="{2EEB2C34-611A-43F1-832A-C1DF4D34F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793750</xdr:colOff>
          <xdr:row>27</xdr:row>
          <xdr:rowOff>165100</xdr:rowOff>
        </xdr:from>
        <xdr:to>
          <xdr:col>11</xdr:col>
          <xdr:colOff>222250</xdr:colOff>
          <xdr:row>31</xdr:row>
          <xdr:rowOff>165100</xdr:rowOff>
        </xdr:to>
        <xdr:sp macro="" textlink="">
          <xdr:nvSpPr>
            <xdr:cNvPr id="389122" name="Object 2" hidden="1">
              <a:extLst>
                <a:ext uri="{63B3BB69-23CF-44E3-9099-C40C66FF867C}">
                  <a14:compatExt spid="_x0000_s389122"/>
                </a:ext>
                <a:ext uri="{FF2B5EF4-FFF2-40B4-BE49-F238E27FC236}">
                  <a16:creationId xmlns="" xmlns:a16="http://schemas.microsoft.com/office/drawing/2014/main" id="{8A9C7111-28C9-44C5-B972-FDCC3B609F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793750</xdr:colOff>
          <xdr:row>32</xdr:row>
          <xdr:rowOff>165100</xdr:rowOff>
        </xdr:from>
        <xdr:to>
          <xdr:col>11</xdr:col>
          <xdr:colOff>222250</xdr:colOff>
          <xdr:row>36</xdr:row>
          <xdr:rowOff>165100</xdr:rowOff>
        </xdr:to>
        <xdr:sp macro="" textlink="">
          <xdr:nvSpPr>
            <xdr:cNvPr id="389123" name="Object 3" hidden="1">
              <a:extLst>
                <a:ext uri="{63B3BB69-23CF-44E3-9099-C40C66FF867C}">
                  <a14:compatExt spid="_x0000_s389123"/>
                </a:ext>
                <a:ext uri="{FF2B5EF4-FFF2-40B4-BE49-F238E27FC236}">
                  <a16:creationId xmlns="" xmlns:a16="http://schemas.microsoft.com/office/drawing/2014/main" id="{C3F7B2C2-9891-4972-A25E-F38038838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44450</xdr:rowOff>
        </xdr:from>
        <xdr:to>
          <xdr:col>5</xdr:col>
          <xdr:colOff>615950</xdr:colOff>
          <xdr:row>9</xdr:row>
          <xdr:rowOff>31750</xdr:rowOff>
        </xdr:to>
        <xdr:sp macro="" textlink="">
          <xdr:nvSpPr>
            <xdr:cNvPr id="389124" name="Object 4" hidden="1">
              <a:extLst>
                <a:ext uri="{63B3BB69-23CF-44E3-9099-C40C66FF867C}">
                  <a14:compatExt spid="_x0000_s389124"/>
                </a:ext>
                <a:ext uri="{FF2B5EF4-FFF2-40B4-BE49-F238E27FC236}">
                  <a16:creationId xmlns="" xmlns:a16="http://schemas.microsoft.com/office/drawing/2014/main" id="{C776349F-31DC-4DD4-9F90-8DD9573AE6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259665</xdr:colOff>
      <xdr:row>1</xdr:row>
      <xdr:rowOff>103748</xdr:rowOff>
    </xdr:from>
    <xdr:to>
      <xdr:col>11</xdr:col>
      <xdr:colOff>780719</xdr:colOff>
      <xdr:row>11</xdr:row>
      <xdr:rowOff>11753</xdr:rowOff>
    </xdr:to>
    <xdr:sp macro="" textlink="">
      <xdr:nvSpPr>
        <xdr:cNvPr id="6" name="Rectangle 3">
          <a:extLst>
            <a:ext uri="{FF2B5EF4-FFF2-40B4-BE49-F238E27FC236}">
              <a16:creationId xmlns="" xmlns:a16="http://schemas.microsoft.com/office/drawing/2014/main" id="{917FCC8B-D4B7-4D91-A061-1C16672C3596}"/>
            </a:ext>
          </a:extLst>
        </xdr:cNvPr>
        <xdr:cNvSpPr>
          <a:spLocks noGrp="1" noChangeArrowheads="1"/>
        </xdr:cNvSpPr>
      </xdr:nvSpPr>
      <xdr:spPr bwMode="auto">
        <a:xfrm>
          <a:off x="4690695" y="301868"/>
          <a:ext cx="2355606" cy="1805354"/>
        </a:xfrm>
        <a:prstGeom prst="rect">
          <a:avLst/>
        </a:prstGeom>
        <a:noFill/>
        <a:ln>
          <a:noFill/>
        </a:ln>
        <a:extLst>
          <a:ext uri="{909E8E84-426E-40dd-AFC4-6F175D3DCCD1}"/>
          <a:ext uri="{91240B29-F687-4f45-9708-019B960494DF}"/>
          <a:ext uri="{FAA26D3D-D897-4be2-8F04-BA451C77F1D7}"/>
        </a:extLst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lvl1pPr marL="273050" indent="-273050" algn="just" rtl="0" eaLnBrk="0" fontAlgn="base" hangingPunct="0">
            <a:spcBef>
              <a:spcPts val="600"/>
            </a:spcBef>
            <a:spcAft>
              <a:spcPts val="600"/>
            </a:spcAft>
            <a:buFont typeface="Wingdings" charset="2"/>
            <a:buChar char="q"/>
            <a:defRPr lang="es-ES" sz="1800" b="0" dirty="0" smtClean="0">
              <a:solidFill>
                <a:srgbClr val="263974"/>
              </a:solidFill>
              <a:latin typeface="+mn-lt"/>
              <a:ea typeface="ＭＳ Ｐゴシック" charset="0"/>
              <a:cs typeface="+mn-cs"/>
            </a:defRPr>
          </a:lvl1pPr>
          <a:lvl2pPr marL="649287" indent="-285750" algn="just" rtl="0" eaLnBrk="0" fontAlgn="base" hangingPunct="0">
            <a:spcBef>
              <a:spcPts val="600"/>
            </a:spcBef>
            <a:spcAft>
              <a:spcPts val="600"/>
            </a:spcAft>
            <a:buFont typeface="Lucida Grande"/>
            <a:buNone/>
            <a:defRPr lang="es-ES" sz="1800" b="0" dirty="0" smtClean="0">
              <a:solidFill>
                <a:srgbClr val="263974"/>
              </a:solidFill>
              <a:latin typeface="+mn-lt"/>
              <a:ea typeface="Arial" charset="0"/>
              <a:cs typeface="+mn-cs"/>
            </a:defRPr>
          </a:lvl2pPr>
          <a:lvl3pPr marL="649287" indent="-285750" algn="just" defTabSz="893763" rtl="0" eaLnBrk="0" fontAlgn="base" hangingPunct="0">
            <a:spcBef>
              <a:spcPts val="600"/>
            </a:spcBef>
            <a:spcAft>
              <a:spcPts val="600"/>
            </a:spcAft>
            <a:buSzPct val="100000"/>
            <a:buFont typeface="Lucida Grande"/>
            <a:buNone/>
            <a:tabLst>
              <a:tab pos="893763" algn="l"/>
              <a:tab pos="1698625" algn="l"/>
            </a:tabLst>
            <a:defRPr lang="es-ES" sz="1800" dirty="0" smtClean="0">
              <a:solidFill>
                <a:srgbClr val="263974"/>
              </a:solidFill>
              <a:latin typeface="+mn-lt"/>
              <a:ea typeface="Arial" charset="0"/>
              <a:cs typeface="+mn-cs"/>
            </a:defRPr>
          </a:lvl3pPr>
          <a:lvl4pPr marL="903288" indent="-285750" algn="just" rtl="0" eaLnBrk="0" fontAlgn="base" hangingPunct="0">
            <a:spcBef>
              <a:spcPts val="600"/>
            </a:spcBef>
            <a:spcAft>
              <a:spcPts val="600"/>
            </a:spcAft>
            <a:buSzPct val="100000"/>
            <a:buFont typeface="Courier New"/>
            <a:buChar char="o"/>
            <a:tabLst>
              <a:tab pos="1698625" algn="l"/>
            </a:tabLst>
            <a:defRPr sz="1800" b="0">
              <a:solidFill>
                <a:srgbClr val="263974"/>
              </a:solidFill>
              <a:latin typeface="+mn-lt"/>
              <a:ea typeface="Arial" charset="0"/>
              <a:cs typeface="+mn-cs"/>
            </a:defRPr>
          </a:lvl4pPr>
          <a:lvl5pPr marL="1358900" indent="-285750" algn="just" rtl="0" eaLnBrk="0" fontAlgn="base" hangingPunct="0">
            <a:spcBef>
              <a:spcPts val="600"/>
            </a:spcBef>
            <a:spcAft>
              <a:spcPts val="600"/>
            </a:spcAft>
            <a:buSzPct val="100000"/>
            <a:buFont typeface="Lucida Grande" charset="0"/>
            <a:buNone/>
            <a:tabLst>
              <a:tab pos="1698625" algn="l"/>
            </a:tabLst>
            <a:defRPr lang="en-GB" sz="1800" dirty="0">
              <a:solidFill>
                <a:srgbClr val="263974"/>
              </a:solidFill>
              <a:latin typeface="+mn-lt"/>
              <a:ea typeface="Arial" charset="0"/>
              <a:cs typeface="+mn-cs"/>
            </a:defRPr>
          </a:lvl5pPr>
          <a:lvl6pPr marL="2711450" indent="-120650" algn="just" rtl="0" eaLnBrk="1" fontAlgn="base" hangingPunct="1">
            <a:spcBef>
              <a:spcPct val="75000"/>
            </a:spcBef>
            <a:spcAft>
              <a:spcPct val="0"/>
            </a:spcAft>
            <a:buSzPct val="75000"/>
            <a:buChar char="•"/>
            <a:defRPr sz="1400">
              <a:solidFill>
                <a:srgbClr val="1D4D81"/>
              </a:solidFill>
              <a:latin typeface="+mn-lt"/>
              <a:cs typeface="+mn-cs"/>
            </a:defRPr>
          </a:lvl6pPr>
          <a:lvl7pPr marL="3168650" indent="-120650" algn="just" rtl="0" eaLnBrk="1" fontAlgn="base" hangingPunct="1">
            <a:spcBef>
              <a:spcPct val="75000"/>
            </a:spcBef>
            <a:spcAft>
              <a:spcPct val="0"/>
            </a:spcAft>
            <a:buSzPct val="75000"/>
            <a:buChar char="•"/>
            <a:defRPr sz="1400">
              <a:solidFill>
                <a:srgbClr val="1D4D81"/>
              </a:solidFill>
              <a:latin typeface="+mn-lt"/>
              <a:cs typeface="+mn-cs"/>
            </a:defRPr>
          </a:lvl7pPr>
          <a:lvl8pPr marL="3625850" indent="-120650" algn="just" rtl="0" eaLnBrk="1" fontAlgn="base" hangingPunct="1">
            <a:spcBef>
              <a:spcPct val="75000"/>
            </a:spcBef>
            <a:spcAft>
              <a:spcPct val="0"/>
            </a:spcAft>
            <a:buSzPct val="75000"/>
            <a:buChar char="•"/>
            <a:defRPr sz="1400">
              <a:solidFill>
                <a:srgbClr val="1D4D81"/>
              </a:solidFill>
              <a:latin typeface="+mn-lt"/>
              <a:cs typeface="+mn-cs"/>
            </a:defRPr>
          </a:lvl8pPr>
          <a:lvl9pPr marL="4083050" indent="-120650" algn="just" rtl="0" eaLnBrk="1" fontAlgn="base" hangingPunct="1">
            <a:spcBef>
              <a:spcPct val="75000"/>
            </a:spcBef>
            <a:spcAft>
              <a:spcPct val="0"/>
            </a:spcAft>
            <a:buSzPct val="75000"/>
            <a:buChar char="•"/>
            <a:defRPr sz="1400">
              <a:solidFill>
                <a:srgbClr val="1D4D81"/>
              </a:solidFill>
              <a:latin typeface="+mn-lt"/>
              <a:cs typeface="+mn-cs"/>
            </a:defRPr>
          </a:lvl9pPr>
        </a:lstStyle>
        <a:p>
          <a:pPr marL="271463" indent="-271463"/>
          <a:r>
            <a:rPr lang="es-ES_tradnl" sz="1000" b="1">
              <a:latin typeface="Arial" charset="0"/>
              <a:cs typeface="Arial" charset="0"/>
            </a:rPr>
            <a:t>Dados los siguientes tipos de interés a 3 y 6 meses, calcular los tipos implícitos 3x6 (Suponga Base Act 360):</a:t>
          </a:r>
        </a:p>
        <a:p>
          <a:pPr marL="271463" indent="-271463"/>
          <a:endParaRPr lang="es-ES_tradnl" sz="1000">
            <a:latin typeface="Arial" charset="0"/>
            <a:cs typeface="Arial" charset="0"/>
          </a:endParaRPr>
        </a:p>
        <a:p>
          <a:pPr marL="400050" lvl="2">
            <a:buFont typeface="Lucida Grande" charset="0"/>
            <a:buChar char="−"/>
            <a:tabLst/>
          </a:pPr>
          <a:r>
            <a:rPr lang="es-ES_tradnl" sz="1000">
              <a:latin typeface="Arial" charset="0"/>
              <a:cs typeface="Arial" charset="0"/>
            </a:rPr>
            <a:t>r3 meses (92 días) = -0,112%</a:t>
          </a:r>
        </a:p>
        <a:p>
          <a:pPr marL="400050" lvl="2">
            <a:buFont typeface="Lucida Grande" charset="0"/>
            <a:buChar char="−"/>
            <a:tabLst/>
          </a:pPr>
          <a:r>
            <a:rPr lang="es-ES_tradnl" sz="1000">
              <a:latin typeface="Arial" charset="0"/>
              <a:cs typeface="Arial" charset="0"/>
            </a:rPr>
            <a:t>r6 meses (184 días) = -0,075%</a:t>
          </a:r>
        </a:p>
        <a:p>
          <a:pPr marL="400050" lvl="2">
            <a:buFont typeface="Lucida Grande" charset="0"/>
            <a:buChar char="−"/>
            <a:tabLst/>
          </a:pPr>
          <a:endParaRPr lang="es-ES_tradnl" sz="1000">
            <a:latin typeface="Arial" charset="0"/>
            <a:cs typeface="Arial" charset="0"/>
          </a:endParaRPr>
        </a:p>
        <a:p>
          <a:pPr marL="400050" lvl="2">
            <a:buFont typeface="Lucida Grande" charset="0"/>
            <a:buChar char="−"/>
            <a:tabLst/>
          </a:pPr>
          <a:r>
            <a:rPr lang="es-ES_tradnl" sz="1000">
              <a:latin typeface="Arial" charset="0"/>
              <a:cs typeface="Arial" charset="0"/>
            </a:rPr>
            <a:t>r3 meses (90 días) = -0,100%; </a:t>
          </a:r>
        </a:p>
        <a:p>
          <a:pPr marL="400050" lvl="2">
            <a:buFont typeface="Lucida Grande" charset="0"/>
            <a:buChar char="−"/>
            <a:tabLst/>
          </a:pPr>
          <a:r>
            <a:rPr lang="es-ES_tradnl" sz="1000">
              <a:latin typeface="Arial" charset="0"/>
              <a:cs typeface="Arial" charset="0"/>
            </a:rPr>
            <a:t>r6 meses (180 Días) = -0,080%;</a:t>
          </a:r>
        </a:p>
        <a:p>
          <a:pPr marL="400050" lvl="2">
            <a:buFont typeface="Lucida Grande" charset="0"/>
            <a:buChar char="−"/>
            <a:tabLst/>
          </a:pPr>
          <a:endParaRPr lang="es-ES_tradnl" sz="1000">
            <a:latin typeface="Arial" charset="0"/>
            <a:cs typeface="Arial" charset="0"/>
          </a:endParaRPr>
        </a:p>
        <a:p>
          <a:pPr marL="400050" lvl="2">
            <a:buFont typeface="Lucida Grande" charset="0"/>
            <a:buChar char="−"/>
            <a:tabLst/>
          </a:pPr>
          <a:r>
            <a:rPr lang="es-ES_tradnl" sz="1000">
              <a:latin typeface="Arial" charset="0"/>
              <a:cs typeface="Arial" charset="0"/>
            </a:rPr>
            <a:t>r3 meses (91 días) = -0,110%; </a:t>
          </a:r>
        </a:p>
        <a:p>
          <a:pPr marL="400050" lvl="2">
            <a:buFont typeface="Lucida Grande" charset="0"/>
            <a:buChar char="−"/>
            <a:tabLst/>
          </a:pPr>
          <a:r>
            <a:rPr lang="es-ES_tradnl" sz="1000">
              <a:latin typeface="Arial" charset="0"/>
              <a:cs typeface="Arial" charset="0"/>
            </a:rPr>
            <a:t>r6 meses (182 Días) =-0,078%;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14.e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1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oleObject" Target="../embeddings/oleObject4.bin"/><Relationship Id="rId7" Type="http://schemas.openxmlformats.org/officeDocument/2006/relationships/oleObject" Target="../embeddings/oleObject6.bin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5" Type="http://schemas.openxmlformats.org/officeDocument/2006/relationships/oleObject" Target="../embeddings/oleObject5.bin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J59"/>
  <sheetViews>
    <sheetView showGridLines="0" zoomScale="90" zoomScaleNormal="90" workbookViewId="0">
      <selection activeCell="D6" sqref="D6"/>
    </sheetView>
  </sheetViews>
  <sheetFormatPr defaultRowHeight="14.5" x14ac:dyDescent="0.35"/>
  <cols>
    <col min="1" max="1" width="3.36328125" style="1" bestFit="1" customWidth="1"/>
    <col min="2" max="2" width="7" bestFit="1" customWidth="1"/>
    <col min="3" max="3" width="13.90625" customWidth="1"/>
    <col min="4" max="4" width="12.90625" customWidth="1"/>
    <col min="5" max="5" width="16.08984375" bestFit="1" customWidth="1"/>
    <col min="6" max="7" width="12.54296875" bestFit="1" customWidth="1"/>
    <col min="8" max="9" width="13.36328125" bestFit="1" customWidth="1"/>
    <col min="10" max="10" width="12" bestFit="1" customWidth="1"/>
    <col min="11" max="11" width="5.08984375" style="107" customWidth="1"/>
    <col min="12" max="12" width="11.90625" style="3" bestFit="1" customWidth="1"/>
    <col min="13" max="13" width="8" customWidth="1"/>
    <col min="14" max="14" width="14" customWidth="1"/>
    <col min="15" max="15" width="12" bestFit="1" customWidth="1"/>
    <col min="16" max="16" width="11.90625" bestFit="1" customWidth="1"/>
    <col min="17" max="18" width="11.54296875" customWidth="1"/>
    <col min="19" max="19" width="11.90625" bestFit="1" customWidth="1"/>
    <col min="20" max="20" width="13" customWidth="1"/>
    <col min="21" max="21" width="18.453125" bestFit="1" customWidth="1"/>
    <col min="22" max="22" width="14" bestFit="1" customWidth="1"/>
    <col min="23" max="23" width="13.36328125" bestFit="1" customWidth="1"/>
    <col min="24" max="24" width="9.36328125" bestFit="1" customWidth="1"/>
    <col min="25" max="256" width="11.54296875" customWidth="1"/>
  </cols>
  <sheetData>
    <row r="1" spans="1:36" s="38" customFormat="1" ht="23.5" x14ac:dyDescent="0.55000000000000004">
      <c r="A1" s="37"/>
      <c r="B1" s="41" t="s">
        <v>62</v>
      </c>
      <c r="D1" s="37"/>
      <c r="G1" s="37"/>
      <c r="J1" s="37"/>
      <c r="K1" s="106"/>
      <c r="M1" s="41" t="s">
        <v>63</v>
      </c>
      <c r="P1" s="37"/>
      <c r="S1" s="37"/>
      <c r="V1" s="37"/>
    </row>
    <row r="2" spans="1:36" x14ac:dyDescent="0.35">
      <c r="A2" s="17"/>
      <c r="B2" s="45"/>
      <c r="C2" s="45"/>
      <c r="D2" s="127"/>
      <c r="E2" s="45"/>
      <c r="F2" s="45"/>
      <c r="G2" s="127"/>
      <c r="H2" s="45"/>
      <c r="I2" s="45"/>
      <c r="J2" s="17"/>
      <c r="N2" s="3"/>
      <c r="P2" s="3"/>
      <c r="R2" s="3"/>
      <c r="T2" s="3"/>
      <c r="V2" s="3"/>
      <c r="X2" s="3"/>
    </row>
    <row r="3" spans="1:36" ht="15" thickBot="1" x14ac:dyDescent="0.4">
      <c r="A3" s="78"/>
      <c r="B3" s="42" t="s">
        <v>0</v>
      </c>
      <c r="C3" s="39" t="s">
        <v>1</v>
      </c>
      <c r="D3" s="42" t="s">
        <v>2</v>
      </c>
      <c r="E3" s="42" t="s">
        <v>3</v>
      </c>
      <c r="F3" s="42" t="s">
        <v>4</v>
      </c>
      <c r="G3" s="42" t="s">
        <v>5</v>
      </c>
      <c r="H3" s="43" t="s">
        <v>6</v>
      </c>
      <c r="I3" s="46" t="s">
        <v>7</v>
      </c>
      <c r="J3" s="8"/>
    </row>
    <row r="4" spans="1:36" x14ac:dyDescent="0.35">
      <c r="A4" s="79">
        <v>1</v>
      </c>
      <c r="B4" s="64" t="s">
        <v>8</v>
      </c>
      <c r="C4" s="65">
        <v>44358</v>
      </c>
      <c r="D4" s="65">
        <f>C4</f>
        <v>44358</v>
      </c>
      <c r="E4" s="66">
        <f t="shared" ref="E4:E27" si="0">WORKDAY(D4,A4)</f>
        <v>44361</v>
      </c>
      <c r="F4" s="67">
        <v>-4.7499999999999999E-3</v>
      </c>
      <c r="G4" s="68">
        <f t="shared" ref="G4:G27" si="1">YEARFRAC(D4,E4,2)</f>
        <v>8.3333333333333332E-3</v>
      </c>
      <c r="H4" s="68">
        <v>1.0000395849002357</v>
      </c>
      <c r="I4" s="69">
        <f>-LN($H$4)/YEARFRAC($D$4, $E$4, 3) - $D$29</f>
        <v>-5.6660675408625591E-3</v>
      </c>
      <c r="J4" s="8"/>
    </row>
    <row r="5" spans="1:36" x14ac:dyDescent="0.35">
      <c r="A5" s="79">
        <v>1</v>
      </c>
      <c r="B5" s="52" t="s">
        <v>9</v>
      </c>
      <c r="C5" s="53">
        <v>44358</v>
      </c>
      <c r="D5" s="53">
        <v>44361</v>
      </c>
      <c r="E5" s="54">
        <f t="shared" si="0"/>
        <v>44362</v>
      </c>
      <c r="F5" s="55">
        <v>-4.7502600000000001E-3</v>
      </c>
      <c r="G5" s="56">
        <f t="shared" si="1"/>
        <v>2.7777777777777779E-3</v>
      </c>
      <c r="H5" s="56">
        <v>1.0000527807633532</v>
      </c>
      <c r="I5" s="57">
        <f>-LN($H$5)/YEARFRAC($D$4, $E$5, 3) - $D$29</f>
        <v>-5.6661175579209976E-3</v>
      </c>
      <c r="J5" s="8"/>
      <c r="Z5" s="21"/>
      <c r="AC5" s="21"/>
      <c r="AE5" s="250"/>
      <c r="AJ5" s="251"/>
    </row>
    <row r="6" spans="1:36" x14ac:dyDescent="0.35">
      <c r="A6" s="79">
        <v>5</v>
      </c>
      <c r="B6" s="58" t="s">
        <v>10</v>
      </c>
      <c r="C6" s="59">
        <v>44358</v>
      </c>
      <c r="D6" s="59">
        <v>44362</v>
      </c>
      <c r="E6" s="60">
        <f t="shared" si="0"/>
        <v>44369</v>
      </c>
      <c r="F6" s="61">
        <v>-4.7000000000000002E-3</v>
      </c>
      <c r="G6" s="62">
        <f t="shared" si="1"/>
        <v>1.9444444444444445E-2</v>
      </c>
      <c r="H6" s="62">
        <v>1.0001441828289506</v>
      </c>
      <c r="I6" s="63">
        <f>-LN(H6)/YEARFRAC($D$4, E6, 3) - $D$29</f>
        <v>-5.6339035450916368E-3</v>
      </c>
      <c r="J6" s="8"/>
      <c r="Z6" s="21"/>
      <c r="AC6" s="21"/>
      <c r="AE6" s="250"/>
      <c r="AJ6" s="251"/>
    </row>
    <row r="7" spans="1:36" x14ac:dyDescent="0.35">
      <c r="A7" s="79">
        <v>10</v>
      </c>
      <c r="B7" s="58" t="s">
        <v>11</v>
      </c>
      <c r="C7" s="59">
        <v>44358</v>
      </c>
      <c r="D7" s="59">
        <v>44362</v>
      </c>
      <c r="E7" s="60">
        <f t="shared" si="0"/>
        <v>44376</v>
      </c>
      <c r="F7" s="61">
        <v>-4.6499999999999996E-3</v>
      </c>
      <c r="G7" s="62">
        <f t="shared" si="1"/>
        <v>3.888888888888889E-2</v>
      </c>
      <c r="H7" s="62">
        <v>1.0002336563495431</v>
      </c>
      <c r="I7" s="63">
        <f>-LN(H7)/YEARFRAC($D$4, E7, 3) - $D$29</f>
        <v>-5.5874780830351871E-3</v>
      </c>
      <c r="J7" s="27"/>
      <c r="Z7" s="21"/>
      <c r="AC7" s="21"/>
      <c r="AE7" s="250"/>
      <c r="AJ7" s="251"/>
    </row>
    <row r="8" spans="1:36" x14ac:dyDescent="0.35">
      <c r="A8" s="79">
        <v>15</v>
      </c>
      <c r="B8" s="58" t="s">
        <v>12</v>
      </c>
      <c r="C8" s="59">
        <v>44358</v>
      </c>
      <c r="D8" s="59">
        <v>44362</v>
      </c>
      <c r="E8" s="60">
        <f t="shared" si="0"/>
        <v>44383</v>
      </c>
      <c r="F8" s="61">
        <v>-4.6100000000000004E-3</v>
      </c>
      <c r="G8" s="62">
        <f t="shared" si="1"/>
        <v>5.8333333333333334E-2</v>
      </c>
      <c r="H8" s="62">
        <v>1.0003217839630905</v>
      </c>
      <c r="I8" s="63">
        <f>-LN(H8)/YEARFRAC($D$4, E8, 3) - $D$29</f>
        <v>-5.5472901453265415E-3</v>
      </c>
      <c r="J8" s="8"/>
      <c r="Z8" s="21"/>
      <c r="AC8" s="21"/>
      <c r="AE8" s="250"/>
      <c r="AJ8" s="251"/>
    </row>
    <row r="9" spans="1:36" ht="15" thickBot="1" x14ac:dyDescent="0.4">
      <c r="A9" s="79">
        <v>1</v>
      </c>
      <c r="B9" s="58" t="s">
        <v>13</v>
      </c>
      <c r="C9" s="59">
        <v>44358</v>
      </c>
      <c r="D9" s="59">
        <v>44362</v>
      </c>
      <c r="E9" s="60">
        <f t="shared" ref="E9:E27" si="2">WORKDAY(EDATE(D9,A9)-1,1)</f>
        <v>44392</v>
      </c>
      <c r="F9" s="61">
        <v>-4.5300000000000002E-3</v>
      </c>
      <c r="G9" s="62">
        <f t="shared" si="1"/>
        <v>8.3333333333333329E-2</v>
      </c>
      <c r="H9" s="62">
        <v>1.0004304432556823</v>
      </c>
      <c r="I9" s="63">
        <f>-LN(H9)/YEARFRAC($D$4, E9, 3) - $D$29</f>
        <v>-5.4699407108639167E-3</v>
      </c>
      <c r="J9" s="8"/>
      <c r="W9" s="5"/>
      <c r="X9" s="6"/>
      <c r="Z9" s="21"/>
      <c r="AC9" s="21"/>
      <c r="AE9" s="250"/>
      <c r="AJ9" s="251"/>
    </row>
    <row r="10" spans="1:36" x14ac:dyDescent="0.35">
      <c r="A10" s="79">
        <v>2</v>
      </c>
      <c r="B10" s="58" t="s">
        <v>14</v>
      </c>
      <c r="C10" s="59">
        <v>44358</v>
      </c>
      <c r="D10" s="59">
        <v>44362</v>
      </c>
      <c r="E10" s="60">
        <f t="shared" si="2"/>
        <v>44424</v>
      </c>
      <c r="F10" s="61">
        <v>-4.5199999999999997E-3</v>
      </c>
      <c r="G10" s="62">
        <f t="shared" si="1"/>
        <v>0.17222222222222222</v>
      </c>
      <c r="H10" s="62">
        <v>1.0008318727745373</v>
      </c>
      <c r="I10" s="63">
        <f>-LN(H10)/YEARFRAC($D$4, E10, 3) - $D$29</f>
        <v>-5.4485960674957685E-3</v>
      </c>
      <c r="J10" s="8"/>
      <c r="M10" s="7" t="s">
        <v>15</v>
      </c>
      <c r="N10" s="254">
        <f>F5</f>
        <v>-4.7502600000000001E-3</v>
      </c>
      <c r="P10" s="8"/>
      <c r="Q10" s="8"/>
      <c r="R10" s="8"/>
      <c r="S10" s="8"/>
      <c r="T10" s="8"/>
      <c r="U10" s="1"/>
      <c r="V10" s="9"/>
      <c r="W10" s="9"/>
      <c r="Z10" s="21"/>
      <c r="AC10" s="21"/>
      <c r="AE10" s="250"/>
      <c r="AJ10" s="251"/>
    </row>
    <row r="11" spans="1:36" ht="15" thickBot="1" x14ac:dyDescent="0.4">
      <c r="A11" s="79">
        <v>3</v>
      </c>
      <c r="B11" s="58" t="s">
        <v>16</v>
      </c>
      <c r="C11" s="59">
        <v>44358</v>
      </c>
      <c r="D11" s="59">
        <v>44362</v>
      </c>
      <c r="E11" s="60">
        <f t="shared" si="2"/>
        <v>44454</v>
      </c>
      <c r="F11" s="61">
        <v>-4.5199999999999997E-3</v>
      </c>
      <c r="G11" s="62">
        <f t="shared" si="1"/>
        <v>0.25555555555555554</v>
      </c>
      <c r="H11" s="62">
        <v>1.0012092887373214</v>
      </c>
      <c r="I11" s="63">
        <f>-LN(H11)/YEARFRAC($D$4, E11, 3) - $D$29</f>
        <v>-5.4450387486900224E-3</v>
      </c>
      <c r="J11" s="8"/>
      <c r="M11" s="10" t="s">
        <v>17</v>
      </c>
      <c r="N11" s="255">
        <f>H5</f>
        <v>1.0000527807633532</v>
      </c>
      <c r="P11" s="8"/>
      <c r="Q11" s="8"/>
      <c r="R11" s="8"/>
      <c r="S11" s="8"/>
      <c r="T11" s="8"/>
      <c r="U11" s="1"/>
      <c r="V11" s="9"/>
      <c r="Z11" s="21"/>
      <c r="AC11" s="21"/>
      <c r="AE11" s="250"/>
      <c r="AJ11" s="251"/>
    </row>
    <row r="12" spans="1:36" x14ac:dyDescent="0.35">
      <c r="A12" s="79">
        <v>4</v>
      </c>
      <c r="B12" s="58" t="s">
        <v>18</v>
      </c>
      <c r="C12" s="59">
        <v>44358</v>
      </c>
      <c r="D12" s="59">
        <v>44362</v>
      </c>
      <c r="E12" s="60">
        <f t="shared" si="2"/>
        <v>44484</v>
      </c>
      <c r="F12" s="61">
        <v>-4.5100000000000001E-3</v>
      </c>
      <c r="G12" s="62">
        <f t="shared" si="1"/>
        <v>0.33888888888888891</v>
      </c>
      <c r="H12" s="62">
        <v>1.0015835899935928</v>
      </c>
      <c r="I12" s="63">
        <f>-LN(H12)/YEARFRAC($D$4, E12, 3) - $D$29</f>
        <v>-5.4337552742597999E-3</v>
      </c>
      <c r="J12" s="8"/>
      <c r="N12" s="8"/>
      <c r="O12" s="8"/>
      <c r="P12" s="8"/>
      <c r="Q12" s="8"/>
      <c r="R12" s="8"/>
      <c r="S12" s="8"/>
      <c r="T12" s="8"/>
      <c r="U12" s="1"/>
      <c r="Z12" s="21"/>
      <c r="AC12" s="21"/>
      <c r="AE12" s="250"/>
      <c r="AJ12" s="251"/>
    </row>
    <row r="13" spans="1:36" x14ac:dyDescent="0.35">
      <c r="A13" s="79">
        <v>5</v>
      </c>
      <c r="B13" s="58" t="s">
        <v>19</v>
      </c>
      <c r="C13" s="59">
        <v>44358</v>
      </c>
      <c r="D13" s="59">
        <v>44362</v>
      </c>
      <c r="E13" s="60">
        <f t="shared" si="2"/>
        <v>44515</v>
      </c>
      <c r="F13" s="61">
        <v>-4.5100000000000001E-3</v>
      </c>
      <c r="G13" s="62">
        <f t="shared" si="1"/>
        <v>0.42499999999999999</v>
      </c>
      <c r="H13" s="62">
        <v>1.0019733131112591</v>
      </c>
      <c r="I13" s="63">
        <f>-LN(H13)/YEARFRAC($D$4, E13, 3) - $D$29</f>
        <v>-5.4331182838873292E-3</v>
      </c>
      <c r="J13" s="8"/>
      <c r="Z13" s="21"/>
      <c r="AC13" s="21"/>
      <c r="AE13" s="250"/>
      <c r="AJ13" s="251"/>
    </row>
    <row r="14" spans="1:36" ht="15" thickBot="1" x14ac:dyDescent="0.4">
      <c r="A14" s="79">
        <v>6</v>
      </c>
      <c r="B14" s="58" t="s">
        <v>20</v>
      </c>
      <c r="C14" s="59">
        <v>44358</v>
      </c>
      <c r="D14" s="59">
        <v>44362</v>
      </c>
      <c r="E14" s="60">
        <f t="shared" si="2"/>
        <v>44545</v>
      </c>
      <c r="F14" s="61">
        <v>-4.5300000000000002E-3</v>
      </c>
      <c r="G14" s="62">
        <f t="shared" si="1"/>
        <v>0.5083333333333333</v>
      </c>
      <c r="H14" s="62">
        <v>1.0023609674812206</v>
      </c>
      <c r="I14" s="63">
        <f>-LN(H14)/YEARFRAC($D$4, E14, 3) - $D$29</f>
        <v>-5.4528740291009438E-3</v>
      </c>
      <c r="J14" s="8"/>
      <c r="M14" s="91" t="s">
        <v>0</v>
      </c>
      <c r="N14" s="91" t="s">
        <v>1</v>
      </c>
      <c r="O14" s="92" t="s">
        <v>2</v>
      </c>
      <c r="P14" s="90" t="s">
        <v>21</v>
      </c>
      <c r="Q14" s="90" t="s">
        <v>22</v>
      </c>
      <c r="R14" s="91" t="s">
        <v>23</v>
      </c>
      <c r="S14" s="90" t="s">
        <v>24</v>
      </c>
      <c r="T14" s="90" t="s">
        <v>25</v>
      </c>
      <c r="U14" s="93" t="s">
        <v>26</v>
      </c>
      <c r="V14" s="93" t="s">
        <v>27</v>
      </c>
      <c r="W14" s="93" t="s">
        <v>28</v>
      </c>
      <c r="X14" s="93" t="s">
        <v>29</v>
      </c>
      <c r="Z14" s="21"/>
      <c r="AC14" s="21"/>
      <c r="AE14" s="250"/>
      <c r="AJ14" s="251"/>
    </row>
    <row r="15" spans="1:36" x14ac:dyDescent="0.35">
      <c r="A15" s="79">
        <v>7</v>
      </c>
      <c r="B15" s="58" t="s">
        <v>30</v>
      </c>
      <c r="C15" s="59">
        <v>44358</v>
      </c>
      <c r="D15" s="59">
        <v>44362</v>
      </c>
      <c r="E15" s="60">
        <f t="shared" si="2"/>
        <v>44578</v>
      </c>
      <c r="F15" s="61">
        <v>-4.5399999999999998E-3</v>
      </c>
      <c r="G15" s="62">
        <f t="shared" si="1"/>
        <v>0.6</v>
      </c>
      <c r="H15" s="62">
        <v>1.0027843653746338</v>
      </c>
      <c r="I15" s="63">
        <f>-LN(H15)/YEARFRAC($D$4, E15, 3) - $D$29</f>
        <v>-5.4630959844615195E-3</v>
      </c>
      <c r="J15" s="8"/>
      <c r="L15" s="40"/>
      <c r="M15" s="94"/>
      <c r="N15" s="95"/>
      <c r="O15" s="96"/>
      <c r="P15" s="97"/>
      <c r="Q15" s="98"/>
      <c r="R15" s="95"/>
      <c r="S15" s="97"/>
      <c r="T15" s="97"/>
      <c r="U15" s="97"/>
      <c r="V15" s="111">
        <f>1-T20/$N$11</f>
        <v>-2.7116662132933733E-2</v>
      </c>
      <c r="W15" s="12">
        <f>SUM($U$16:U20)</f>
        <v>-2.7116662132933681E-2</v>
      </c>
      <c r="X15" s="34">
        <f>(W15-V15)*1000000000</f>
        <v>5.2041704279304213E-8</v>
      </c>
      <c r="Z15" s="21"/>
      <c r="AC15" s="21"/>
      <c r="AE15" s="250"/>
      <c r="AJ15" s="251"/>
    </row>
    <row r="16" spans="1:36" x14ac:dyDescent="0.35">
      <c r="A16" s="79">
        <v>8</v>
      </c>
      <c r="B16" s="58" t="s">
        <v>31</v>
      </c>
      <c r="C16" s="59">
        <v>44358</v>
      </c>
      <c r="D16" s="59">
        <v>44362</v>
      </c>
      <c r="E16" s="60">
        <f t="shared" si="2"/>
        <v>44607</v>
      </c>
      <c r="F16" s="61">
        <v>-4.5599999999999998E-3</v>
      </c>
      <c r="G16" s="62">
        <f t="shared" si="1"/>
        <v>0.68055555555555558</v>
      </c>
      <c r="H16" s="62">
        <v>1.0031659390609056</v>
      </c>
      <c r="I16" s="63">
        <f>-LN(H16)/YEARFRAC($D$4, E16, 3) - $D$29</f>
        <v>-5.4835035355570143E-3</v>
      </c>
      <c r="J16" s="8"/>
      <c r="M16" s="108" t="s">
        <v>35</v>
      </c>
      <c r="N16" s="81">
        <v>44358</v>
      </c>
      <c r="O16" s="16">
        <f>D20</f>
        <v>44362</v>
      </c>
      <c r="P16" s="84">
        <f>E20</f>
        <v>44727</v>
      </c>
      <c r="Q16" s="44">
        <f t="shared" ref="Q16:Q20" si="3">(YEARFRAC(O16,P16,2))</f>
        <v>1.0138888888888888</v>
      </c>
      <c r="R16" s="86">
        <f t="shared" ref="R16:R17" si="4">(YEARFRAC(O16,P16,3))</f>
        <v>1</v>
      </c>
      <c r="S16" s="44">
        <f>InterpolaLineal(P16,$E$4:$E$27,$I$4:$I$27)</f>
        <v>-5.7278707042978522E-3</v>
      </c>
      <c r="T16" s="87">
        <f>EXP(-S16*R16)</f>
        <v>1.0057443063210787</v>
      </c>
      <c r="U16" s="112">
        <f>T16*InterpolaLineal(P20, $E$4:$E$27, $F$4:$F$27)*Q16/$N$11</f>
        <v>-5.3634071755690963E-3</v>
      </c>
      <c r="V16" s="8"/>
      <c r="W16" s="8"/>
      <c r="X16" s="8"/>
      <c r="Z16" s="21"/>
      <c r="AC16" s="21"/>
      <c r="AE16" s="250"/>
      <c r="AJ16" s="251"/>
    </row>
    <row r="17" spans="1:36" x14ac:dyDescent="0.35">
      <c r="A17" s="79">
        <v>9</v>
      </c>
      <c r="B17" s="58" t="s">
        <v>32</v>
      </c>
      <c r="C17" s="59">
        <v>44358</v>
      </c>
      <c r="D17" s="59">
        <v>44362</v>
      </c>
      <c r="E17" s="60">
        <f t="shared" si="2"/>
        <v>44635</v>
      </c>
      <c r="F17" s="61">
        <v>-4.5799999999999999E-3</v>
      </c>
      <c r="G17" s="62">
        <f t="shared" si="1"/>
        <v>0.7583333333333333</v>
      </c>
      <c r="H17" s="62">
        <v>1.0035382363144458</v>
      </c>
      <c r="I17" s="63">
        <f>-LN(H17)/YEARFRAC($D$4, E17, 3) - $D$29</f>
        <v>-5.5040681989134994E-3</v>
      </c>
      <c r="J17" s="8"/>
      <c r="M17" s="108" t="s">
        <v>39</v>
      </c>
      <c r="N17" s="81">
        <v>44358</v>
      </c>
      <c r="O17" s="16">
        <f>P16</f>
        <v>44727</v>
      </c>
      <c r="P17" s="84">
        <f>E24</f>
        <v>45092</v>
      </c>
      <c r="Q17" s="44">
        <f t="shared" si="3"/>
        <v>1.0138888888888888</v>
      </c>
      <c r="R17" s="86">
        <f t="shared" ref="R17:R20" si="5">(YEARFRAC(O17,P17,3))</f>
        <v>1</v>
      </c>
      <c r="S17" s="44"/>
      <c r="T17" s="88">
        <v>1.01093050059689</v>
      </c>
      <c r="U17" s="113">
        <f>T17*InterpolaLineal(P20, $E$4:$E$27, $F$4:$F$27)*Q17/$N$11</f>
        <v>-5.3910639780167567E-3</v>
      </c>
      <c r="V17" s="8"/>
      <c r="W17" s="8"/>
      <c r="X17" s="8"/>
      <c r="Z17" s="21"/>
      <c r="AC17" s="21"/>
      <c r="AE17" s="250"/>
      <c r="AJ17" s="251"/>
    </row>
    <row r="18" spans="1:36" x14ac:dyDescent="0.35">
      <c r="A18" s="79">
        <v>10</v>
      </c>
      <c r="B18" s="58" t="s">
        <v>33</v>
      </c>
      <c r="C18" s="59">
        <v>44358</v>
      </c>
      <c r="D18" s="59">
        <v>44362</v>
      </c>
      <c r="E18" s="60">
        <f t="shared" si="2"/>
        <v>44666</v>
      </c>
      <c r="F18" s="61">
        <v>-4.5999999999999999E-3</v>
      </c>
      <c r="G18" s="62">
        <f t="shared" si="1"/>
        <v>0.84444444444444444</v>
      </c>
      <c r="H18" s="62">
        <v>1.0039525787804828</v>
      </c>
      <c r="I18" s="63">
        <f>-LN(H18)/YEARFRAC($D$4, E18, 3) - $D$29</f>
        <v>-5.5248297735429009E-3</v>
      </c>
      <c r="J18" s="8"/>
      <c r="M18" s="109" t="s">
        <v>40</v>
      </c>
      <c r="N18" s="82">
        <v>44358</v>
      </c>
      <c r="O18" s="31">
        <f>P17</f>
        <v>45092</v>
      </c>
      <c r="P18" s="85">
        <f>E25</f>
        <v>45460</v>
      </c>
      <c r="Q18" s="44">
        <f t="shared" si="3"/>
        <v>1.0222222222222221</v>
      </c>
      <c r="R18" s="80">
        <f t="shared" si="5"/>
        <v>1.0082191780821919</v>
      </c>
      <c r="S18" s="83"/>
      <c r="T18" s="89">
        <v>1.0164892325506107</v>
      </c>
      <c r="U18" s="83">
        <f>T18*InterpolaLineal(P20, $E$4:$E$27, $F$4:$F$27)*Q18/$N$11</f>
        <v>-5.465261199518537E-3</v>
      </c>
      <c r="Z18" s="21"/>
      <c r="AC18" s="21"/>
      <c r="AE18" s="250"/>
      <c r="AJ18" s="251"/>
    </row>
    <row r="19" spans="1:36" x14ac:dyDescent="0.35">
      <c r="A19" s="79">
        <v>11</v>
      </c>
      <c r="B19" s="58" t="s">
        <v>34</v>
      </c>
      <c r="C19" s="59">
        <v>44358</v>
      </c>
      <c r="D19" s="59">
        <v>44362</v>
      </c>
      <c r="E19" s="60">
        <f t="shared" si="2"/>
        <v>44697</v>
      </c>
      <c r="F19" s="61">
        <v>-4.7499999999999999E-3</v>
      </c>
      <c r="G19" s="62">
        <f t="shared" si="1"/>
        <v>0.93055555555555558</v>
      </c>
      <c r="H19" s="62">
        <v>1.0044927783565751</v>
      </c>
      <c r="I19" s="63">
        <f>-LN(H19)/YEARFRAC($D$4, E19, 3) - $D$29</f>
        <v>-5.676523078819092E-3</v>
      </c>
      <c r="J19" s="8"/>
      <c r="M19" s="109" t="s">
        <v>41</v>
      </c>
      <c r="N19" s="82">
        <v>44358</v>
      </c>
      <c r="O19" s="31">
        <f>P18</f>
        <v>45460</v>
      </c>
      <c r="P19" s="85">
        <f>E26</f>
        <v>45824</v>
      </c>
      <c r="Q19" s="44">
        <f t="shared" si="3"/>
        <v>1.0111111111111111</v>
      </c>
      <c r="R19" s="80">
        <f t="shared" si="5"/>
        <v>0.99726027397260275</v>
      </c>
      <c r="S19" s="83"/>
      <c r="T19" s="89">
        <v>1.0218314313206374</v>
      </c>
      <c r="U19" s="83">
        <f>T19*InterpolaLineal(P20, $E$4:$E$27, $F$4:$F$27)*Q19/$N$11</f>
        <v>-5.4342668743120673E-3</v>
      </c>
      <c r="Z19" s="21"/>
      <c r="AC19" s="21"/>
      <c r="AE19" s="250"/>
      <c r="AJ19" s="251"/>
    </row>
    <row r="20" spans="1:36" x14ac:dyDescent="0.35">
      <c r="A20" s="79">
        <v>12</v>
      </c>
      <c r="B20" s="58" t="s">
        <v>35</v>
      </c>
      <c r="C20" s="59">
        <v>44358</v>
      </c>
      <c r="D20" s="59">
        <v>44362</v>
      </c>
      <c r="E20" s="60">
        <f t="shared" si="2"/>
        <v>44727</v>
      </c>
      <c r="F20" s="61">
        <v>-4.7999999999999996E-3</v>
      </c>
      <c r="G20" s="62">
        <f t="shared" si="1"/>
        <v>1.0138888888888888</v>
      </c>
      <c r="H20" s="62">
        <v>1.0049435058250351</v>
      </c>
      <c r="I20" s="63">
        <f>-LN(H20)/YEARFRAC($D$4, E20, 3) - $D$29</f>
        <v>-5.7278707042978522E-3</v>
      </c>
      <c r="J20" s="8"/>
      <c r="M20" s="110" t="s">
        <v>42</v>
      </c>
      <c r="N20" s="99">
        <v>44358</v>
      </c>
      <c r="O20" s="100">
        <f>P19</f>
        <v>45824</v>
      </c>
      <c r="P20" s="101">
        <f>E27</f>
        <v>46188</v>
      </c>
      <c r="Q20" s="102">
        <f t="shared" si="3"/>
        <v>1.0111111111111111</v>
      </c>
      <c r="R20" s="103">
        <f t="shared" si="5"/>
        <v>0.99726027397260275</v>
      </c>
      <c r="S20" s="104"/>
      <c r="T20" s="105">
        <v>1.0271708741344139</v>
      </c>
      <c r="U20" s="104">
        <f>T20*InterpolaLineal(P20, $E$4:$E$27, $F$4:$F$27)*Q20/$N$11</f>
        <v>-5.4626629055172229E-3</v>
      </c>
      <c r="Z20" s="21"/>
      <c r="AC20" s="21"/>
      <c r="AE20" s="250"/>
      <c r="AJ20" s="251"/>
    </row>
    <row r="21" spans="1:36" x14ac:dyDescent="0.35">
      <c r="A21" s="79">
        <v>15</v>
      </c>
      <c r="B21" s="70" t="s">
        <v>36</v>
      </c>
      <c r="C21" s="71">
        <v>44358</v>
      </c>
      <c r="D21" s="71">
        <v>44362</v>
      </c>
      <c r="E21" s="72">
        <f t="shared" si="2"/>
        <v>44819</v>
      </c>
      <c r="F21" s="73">
        <v>-5.0099999999999997E-3</v>
      </c>
      <c r="G21" s="74">
        <f t="shared" si="1"/>
        <v>1.2694444444444444</v>
      </c>
      <c r="H21" s="74">
        <v>1.0064469937647778</v>
      </c>
      <c r="I21" s="75">
        <f>-LN($H$21)/YEARFRAC($D$4, $E$21, 3) - $D$29</f>
        <v>-5.9380689561342511E-3</v>
      </c>
      <c r="J21" s="8"/>
      <c r="Z21" s="21"/>
      <c r="AC21" s="21"/>
      <c r="AE21" s="250"/>
      <c r="AJ21" s="251"/>
    </row>
    <row r="22" spans="1:36" x14ac:dyDescent="0.35">
      <c r="A22" s="79">
        <v>18</v>
      </c>
      <c r="B22" s="70" t="s">
        <v>37</v>
      </c>
      <c r="C22" s="71">
        <v>44358</v>
      </c>
      <c r="D22" s="71">
        <v>44362</v>
      </c>
      <c r="E22" s="72">
        <f t="shared" si="2"/>
        <v>44910</v>
      </c>
      <c r="F22" s="73">
        <v>-5.1200000000000004E-3</v>
      </c>
      <c r="G22" s="74">
        <f t="shared" si="1"/>
        <v>1.5222222222222221</v>
      </c>
      <c r="H22" s="74">
        <v>1.0078936803241336</v>
      </c>
      <c r="I22" s="75">
        <f>-LN($H$22)/YEARFRAC($D$4, $E$22, 3) - $D$29</f>
        <v>-6.0490601436798564E-3</v>
      </c>
      <c r="J22" s="8"/>
      <c r="Z22" s="21"/>
      <c r="AC22" s="21"/>
      <c r="AE22" s="250"/>
      <c r="AJ22" s="251"/>
    </row>
    <row r="23" spans="1:36" x14ac:dyDescent="0.35">
      <c r="A23" s="79">
        <v>21</v>
      </c>
      <c r="B23" s="70" t="s">
        <v>38</v>
      </c>
      <c r="C23" s="71">
        <v>44358</v>
      </c>
      <c r="D23" s="71">
        <v>44362</v>
      </c>
      <c r="E23" s="72">
        <f t="shared" si="2"/>
        <v>45000</v>
      </c>
      <c r="F23" s="73">
        <v>-5.2500000000000003E-3</v>
      </c>
      <c r="G23" s="74">
        <f t="shared" si="1"/>
        <v>1.7722222222222221</v>
      </c>
      <c r="H23" s="74">
        <v>1.0094211822011048</v>
      </c>
      <c r="I23" s="75">
        <f>-LN($H$23)/YEARFRAC($D$4, $E$23, 3) - $D$29</f>
        <v>-6.1812057180189043E-3</v>
      </c>
      <c r="J23" s="8"/>
      <c r="Z23" s="21"/>
      <c r="AC23" s="21"/>
      <c r="AE23" s="250"/>
      <c r="AJ23" s="251"/>
    </row>
    <row r="24" spans="1:36" x14ac:dyDescent="0.35">
      <c r="A24" s="79">
        <f>2*12</f>
        <v>24</v>
      </c>
      <c r="B24" s="47" t="s">
        <v>39</v>
      </c>
      <c r="C24" s="48">
        <v>44358</v>
      </c>
      <c r="D24" s="48">
        <v>44362</v>
      </c>
      <c r="E24" s="49">
        <f t="shared" si="2"/>
        <v>45092</v>
      </c>
      <c r="F24" s="50">
        <v>-5.3200000000000001E-3</v>
      </c>
      <c r="G24" s="76">
        <f t="shared" si="1"/>
        <v>2.0277777777777777</v>
      </c>
      <c r="H24" s="77">
        <f>InterpolaLineal(E24, $P$16:$P$20, $T$16:$T$20)</f>
        <v>1.01093050059689</v>
      </c>
      <c r="I24" s="51">
        <f>-LN(H24)/YEARFRAC($D$4, E24, 3) - $D$29</f>
        <v>-6.2559754406655366E-3</v>
      </c>
      <c r="J24" s="8"/>
      <c r="Z24" s="21"/>
      <c r="AC24" s="21"/>
      <c r="AE24" s="250"/>
      <c r="AJ24" s="251"/>
    </row>
    <row r="25" spans="1:36" x14ac:dyDescent="0.35">
      <c r="A25" s="79">
        <f>12*3</f>
        <v>36</v>
      </c>
      <c r="B25" s="47" t="s">
        <v>40</v>
      </c>
      <c r="C25" s="48">
        <v>44358</v>
      </c>
      <c r="D25" s="48">
        <v>44362</v>
      </c>
      <c r="E25" s="49">
        <f t="shared" si="2"/>
        <v>45460</v>
      </c>
      <c r="F25" s="50">
        <v>-5.3299999999999997E-3</v>
      </c>
      <c r="G25" s="76">
        <f t="shared" si="1"/>
        <v>3.05</v>
      </c>
      <c r="H25" s="77">
        <f>InterpolaLineal(E25, $P$16:$P$20, $T$16:$T$20)</f>
        <v>1.0164892325506107</v>
      </c>
      <c r="I25" s="51">
        <f>-LN(H25)/YEARFRAC($D$4, E25, 3) - $D$29</f>
        <v>-6.2669581636469523E-3</v>
      </c>
      <c r="J25" s="8"/>
      <c r="Z25" s="21"/>
      <c r="AC25" s="21"/>
      <c r="AE25" s="250"/>
      <c r="AJ25" s="251"/>
    </row>
    <row r="26" spans="1:36" x14ac:dyDescent="0.35">
      <c r="A26" s="79">
        <f>12*4</f>
        <v>48</v>
      </c>
      <c r="B26" s="47" t="s">
        <v>41</v>
      </c>
      <c r="C26" s="48">
        <v>44358</v>
      </c>
      <c r="D26" s="48">
        <v>44362</v>
      </c>
      <c r="E26" s="49">
        <f t="shared" si="2"/>
        <v>45824</v>
      </c>
      <c r="F26" s="50">
        <v>-5.2900000000000004E-3</v>
      </c>
      <c r="G26" s="76">
        <f t="shared" si="1"/>
        <v>4.0611111111111109</v>
      </c>
      <c r="H26" s="77">
        <f>InterpolaLineal(E26, $P$16:$P$20, $T$16:$T$20)</f>
        <v>1.0218314313206374</v>
      </c>
      <c r="I26" s="51">
        <f>-LN(H26)/YEARFRAC($D$4, E26, 3) - $D$29</f>
        <v>-6.227037131639925E-3</v>
      </c>
      <c r="J26" s="8"/>
      <c r="Z26" s="21"/>
      <c r="AC26" s="21"/>
      <c r="AE26" s="250"/>
      <c r="AJ26" s="251"/>
    </row>
    <row r="27" spans="1:36" x14ac:dyDescent="0.35">
      <c r="A27" s="79">
        <f>12*5</f>
        <v>60</v>
      </c>
      <c r="B27" s="133" t="s">
        <v>42</v>
      </c>
      <c r="C27" s="134">
        <v>44358</v>
      </c>
      <c r="D27" s="134">
        <v>44362</v>
      </c>
      <c r="E27" s="135">
        <f t="shared" si="2"/>
        <v>46188</v>
      </c>
      <c r="F27" s="136">
        <v>-5.2599999999999999E-3</v>
      </c>
      <c r="G27" s="137">
        <f t="shared" si="1"/>
        <v>5.072222222222222</v>
      </c>
      <c r="H27" s="138">
        <f>InterpolaLineal(E27, $P$16:$P$20, $T$16:$T$20)</f>
        <v>1.0271708741344139</v>
      </c>
      <c r="I27" s="139">
        <f>-LN(H27)/YEARFRAC($D$4, E27, 3) - $D$29</f>
        <v>-6.1970104426486428E-3</v>
      </c>
      <c r="J27" s="8"/>
      <c r="Z27" s="21"/>
      <c r="AC27" s="21"/>
      <c r="AJ27" s="251"/>
    </row>
    <row r="28" spans="1:36" x14ac:dyDescent="0.35">
      <c r="A28" s="17"/>
      <c r="B28" s="8"/>
      <c r="C28" s="8"/>
      <c r="D28" s="8"/>
      <c r="E28" s="8"/>
      <c r="F28" s="8"/>
      <c r="G28" s="8"/>
      <c r="H28" s="8"/>
      <c r="I28" s="8"/>
      <c r="J28" s="8"/>
      <c r="Z28" s="21"/>
      <c r="AC28" s="21"/>
      <c r="AJ28" s="251"/>
    </row>
    <row r="29" spans="1:36" x14ac:dyDescent="0.35">
      <c r="A29" s="17"/>
      <c r="B29" s="252" t="s">
        <v>99</v>
      </c>
      <c r="C29" s="8"/>
      <c r="D29" s="253">
        <v>8.4999999999999995E-4</v>
      </c>
      <c r="E29" s="8"/>
      <c r="F29" s="8"/>
      <c r="G29" s="8"/>
      <c r="H29" s="8"/>
      <c r="I29" s="8"/>
      <c r="J29" s="8"/>
      <c r="Z29" s="21"/>
      <c r="AC29" s="21"/>
      <c r="AJ29" s="251"/>
    </row>
    <row r="30" spans="1:36" x14ac:dyDescent="0.35">
      <c r="A30" s="17"/>
      <c r="B30" s="8"/>
      <c r="C30" s="8"/>
      <c r="D30" s="8"/>
      <c r="E30" s="8"/>
      <c r="F30" s="8"/>
      <c r="G30" s="8"/>
      <c r="H30" s="8"/>
      <c r="I30" s="8"/>
      <c r="J30" s="8"/>
      <c r="Z30" s="21"/>
      <c r="AC30" s="21"/>
      <c r="AJ30" s="251"/>
    </row>
    <row r="31" spans="1:36" ht="23.5" x14ac:dyDescent="0.55000000000000004">
      <c r="A31" s="37"/>
      <c r="B31" s="140" t="s">
        <v>64</v>
      </c>
      <c r="C31" s="38"/>
      <c r="D31" s="37"/>
      <c r="E31" s="38"/>
      <c r="F31" s="38"/>
      <c r="G31" s="37"/>
      <c r="H31" s="38"/>
      <c r="I31" s="38"/>
      <c r="J31" s="37"/>
      <c r="Z31" s="21"/>
      <c r="AC31" s="21"/>
      <c r="AJ31" s="251"/>
    </row>
    <row r="32" spans="1:36" x14ac:dyDescent="0.35">
      <c r="A32" s="17"/>
      <c r="B32" s="8"/>
      <c r="C32" s="8"/>
      <c r="D32" s="8"/>
      <c r="E32" s="8"/>
      <c r="F32" s="8"/>
      <c r="G32" s="8"/>
      <c r="H32" s="8"/>
      <c r="I32" s="8"/>
      <c r="J32" s="8"/>
      <c r="Z32" s="21"/>
      <c r="AC32" s="21"/>
      <c r="AJ32" s="251"/>
    </row>
    <row r="33" spans="1:36" x14ac:dyDescent="0.35">
      <c r="A33" s="17"/>
      <c r="B33" s="8"/>
      <c r="C33" s="8"/>
      <c r="D33" s="8"/>
      <c r="E33" s="8"/>
      <c r="F33" s="8"/>
      <c r="G33" s="8"/>
      <c r="H33" s="8"/>
      <c r="I33" s="8"/>
      <c r="J33" s="8"/>
      <c r="Z33" s="21"/>
      <c r="AC33" s="21"/>
      <c r="AJ33" s="251"/>
    </row>
    <row r="34" spans="1:36" x14ac:dyDescent="0.35">
      <c r="A34" s="17"/>
      <c r="B34" s="8"/>
      <c r="C34" s="128"/>
      <c r="D34" s="8"/>
      <c r="E34" s="8"/>
      <c r="F34" s="8"/>
      <c r="G34" s="8"/>
      <c r="H34" s="8"/>
      <c r="I34" s="8"/>
      <c r="J34" s="8"/>
      <c r="Z34" s="21"/>
      <c r="AC34" s="21"/>
      <c r="AJ34" s="251"/>
    </row>
    <row r="35" spans="1:36" x14ac:dyDescent="0.35">
      <c r="A35" s="17"/>
      <c r="B35" s="8"/>
      <c r="C35" s="8"/>
      <c r="D35" s="8"/>
      <c r="E35" s="8"/>
      <c r="F35" s="8"/>
      <c r="G35" s="8"/>
      <c r="H35" s="8"/>
      <c r="I35" s="8"/>
      <c r="J35" s="8"/>
      <c r="Z35" s="21"/>
      <c r="AC35" s="21"/>
      <c r="AJ35" s="251"/>
    </row>
    <row r="36" spans="1:36" x14ac:dyDescent="0.35">
      <c r="A36" s="17"/>
      <c r="B36" s="8"/>
      <c r="C36" s="8"/>
      <c r="D36" s="8"/>
      <c r="E36" s="8"/>
      <c r="F36" s="8"/>
      <c r="G36" s="8"/>
      <c r="H36" s="8"/>
      <c r="I36" s="8"/>
      <c r="J36" s="8"/>
      <c r="Z36" s="21"/>
      <c r="AC36" s="21"/>
      <c r="AJ36" s="251"/>
    </row>
    <row r="37" spans="1:36" x14ac:dyDescent="0.35">
      <c r="A37" s="17"/>
      <c r="B37" s="8"/>
      <c r="C37" s="129"/>
      <c r="D37" s="8"/>
      <c r="E37" s="8"/>
      <c r="F37" s="8"/>
      <c r="G37" s="8"/>
      <c r="H37" s="8"/>
      <c r="I37" s="8"/>
      <c r="J37" s="8"/>
      <c r="Z37" s="21"/>
      <c r="AC37" s="21"/>
      <c r="AJ37" s="251"/>
    </row>
    <row r="38" spans="1:36" x14ac:dyDescent="0.35">
      <c r="A38" s="17"/>
      <c r="B38" s="8"/>
      <c r="C38" s="8"/>
      <c r="D38" s="8"/>
      <c r="E38" s="8"/>
      <c r="F38" s="8"/>
      <c r="G38" s="8"/>
      <c r="H38" s="8"/>
      <c r="I38" s="8"/>
      <c r="J38" s="8"/>
      <c r="Z38" s="21"/>
      <c r="AC38" s="21"/>
      <c r="AJ38" s="251"/>
    </row>
    <row r="39" spans="1:36" x14ac:dyDescent="0.35">
      <c r="A39" s="17"/>
      <c r="B39" s="8"/>
      <c r="D39" s="8"/>
      <c r="E39" s="8"/>
      <c r="F39" s="8"/>
      <c r="G39" s="8"/>
      <c r="H39" s="8"/>
      <c r="I39" s="8"/>
      <c r="J39" s="8"/>
      <c r="Z39" s="21"/>
      <c r="AC39" s="21"/>
      <c r="AJ39" s="251"/>
    </row>
    <row r="40" spans="1:36" x14ac:dyDescent="0.35">
      <c r="A40" s="17"/>
      <c r="B40" s="8"/>
      <c r="C40" s="130"/>
      <c r="D40" s="8"/>
      <c r="E40" s="8"/>
      <c r="F40" s="8"/>
      <c r="G40" s="8"/>
      <c r="H40" s="8"/>
      <c r="I40" s="8"/>
      <c r="J40" s="8"/>
      <c r="Z40" s="21"/>
      <c r="AC40" s="21"/>
      <c r="AJ40" s="251"/>
    </row>
    <row r="41" spans="1:36" x14ac:dyDescent="0.35">
      <c r="A41" s="17"/>
      <c r="B41" s="8"/>
      <c r="C41" s="15"/>
      <c r="D41" s="8"/>
      <c r="E41" s="8"/>
      <c r="F41" s="8"/>
      <c r="G41" s="8"/>
      <c r="H41" s="8"/>
      <c r="I41" s="8"/>
      <c r="J41" s="8"/>
      <c r="Z41" s="21"/>
      <c r="AC41" s="21"/>
      <c r="AJ41" s="251"/>
    </row>
    <row r="42" spans="1:36" x14ac:dyDescent="0.35">
      <c r="A42" s="17"/>
      <c r="B42" s="8"/>
      <c r="C42" s="15"/>
      <c r="D42" s="8"/>
      <c r="E42" s="8"/>
      <c r="F42" s="8"/>
      <c r="G42" s="8"/>
      <c r="H42" s="8"/>
      <c r="I42" s="8"/>
      <c r="J42" s="8"/>
    </row>
    <row r="43" spans="1:36" x14ac:dyDescent="0.35">
      <c r="A43" s="17"/>
      <c r="B43" s="8"/>
      <c r="C43" s="131"/>
      <c r="D43" s="8"/>
      <c r="E43" s="8"/>
      <c r="F43" s="8"/>
      <c r="G43" s="8"/>
      <c r="H43" s="8"/>
      <c r="I43" s="8"/>
      <c r="J43" s="8"/>
    </row>
    <row r="44" spans="1:36" x14ac:dyDescent="0.35">
      <c r="A44" s="17"/>
      <c r="B44" s="8"/>
      <c r="C44" s="15"/>
      <c r="D44" s="8"/>
      <c r="E44" s="8"/>
      <c r="F44" s="8"/>
      <c r="G44" s="8"/>
      <c r="H44" s="8"/>
      <c r="I44" s="8"/>
      <c r="J44" s="8"/>
    </row>
    <row r="45" spans="1:36" x14ac:dyDescent="0.35">
      <c r="A45" s="17"/>
      <c r="B45" s="8"/>
      <c r="C45" s="15"/>
      <c r="D45" s="8"/>
      <c r="E45" s="8"/>
      <c r="F45" s="8"/>
      <c r="G45" s="8"/>
      <c r="H45" s="8"/>
      <c r="I45" s="8"/>
      <c r="J45" s="8"/>
    </row>
    <row r="46" spans="1:36" x14ac:dyDescent="0.35">
      <c r="A46" s="17"/>
      <c r="B46" s="8"/>
      <c r="C46" s="132"/>
      <c r="D46" s="8"/>
      <c r="E46" s="8"/>
      <c r="F46" s="8"/>
      <c r="G46" s="8"/>
      <c r="H46" s="8"/>
      <c r="I46" s="8"/>
      <c r="J46" s="8"/>
    </row>
    <row r="47" spans="1:36" x14ac:dyDescent="0.35">
      <c r="A47" s="17"/>
      <c r="B47" s="8"/>
      <c r="C47" s="15"/>
      <c r="D47" s="8"/>
      <c r="E47" s="8"/>
      <c r="F47" s="8"/>
      <c r="G47" s="8"/>
      <c r="H47" s="8"/>
      <c r="I47" s="8"/>
      <c r="J47" s="8"/>
    </row>
    <row r="48" spans="1:36" x14ac:dyDescent="0.35">
      <c r="A48" s="17"/>
      <c r="B48" s="8"/>
      <c r="C48" s="15"/>
      <c r="D48" s="8"/>
      <c r="E48" s="8"/>
      <c r="F48" s="8"/>
      <c r="G48" s="8"/>
      <c r="H48" s="8"/>
      <c r="I48" s="8"/>
      <c r="J48" s="8"/>
    </row>
    <row r="49" spans="1:10" x14ac:dyDescent="0.35">
      <c r="A49" s="17"/>
      <c r="B49" s="17"/>
      <c r="C49" s="17"/>
      <c r="D49" s="8"/>
      <c r="E49" s="8"/>
      <c r="F49" s="8"/>
      <c r="G49" s="8"/>
      <c r="H49" s="8"/>
      <c r="I49" s="8"/>
      <c r="J49" s="8"/>
    </row>
    <row r="50" spans="1:10" x14ac:dyDescent="0.35">
      <c r="A50" s="17"/>
      <c r="B50" s="8"/>
      <c r="C50" s="8"/>
      <c r="D50" s="8"/>
      <c r="E50" s="8"/>
      <c r="F50" s="8"/>
      <c r="G50" s="8"/>
      <c r="H50" s="8"/>
      <c r="I50" s="8"/>
      <c r="J50" s="8"/>
    </row>
    <row r="51" spans="1:10" x14ac:dyDescent="0.35">
      <c r="A51" s="17"/>
      <c r="B51" s="8"/>
      <c r="C51" s="8"/>
      <c r="D51" s="8"/>
      <c r="E51" s="8"/>
      <c r="F51" s="8"/>
      <c r="G51" s="8"/>
      <c r="H51" s="8"/>
      <c r="I51" s="8"/>
      <c r="J51" s="8"/>
    </row>
    <row r="52" spans="1:10" x14ac:dyDescent="0.35">
      <c r="A52" s="17"/>
      <c r="B52" s="8"/>
      <c r="C52" s="8"/>
      <c r="D52" s="8"/>
      <c r="E52" s="8"/>
      <c r="F52" s="8"/>
      <c r="G52" s="8"/>
      <c r="H52" s="8"/>
      <c r="I52" s="8"/>
      <c r="J52" s="8"/>
    </row>
    <row r="53" spans="1:10" x14ac:dyDescent="0.35">
      <c r="A53" s="17"/>
      <c r="B53" s="8"/>
      <c r="C53" s="8"/>
      <c r="D53" s="8"/>
      <c r="E53" s="8"/>
      <c r="F53" s="8"/>
      <c r="G53" s="8"/>
      <c r="H53" s="8"/>
      <c r="I53" s="8"/>
      <c r="J53" s="8"/>
    </row>
    <row r="54" spans="1:10" x14ac:dyDescent="0.35">
      <c r="A54" s="17"/>
      <c r="B54" s="8"/>
      <c r="C54" s="8"/>
      <c r="D54" s="8"/>
      <c r="E54" s="8"/>
      <c r="F54" s="8"/>
      <c r="G54" s="8"/>
      <c r="H54" s="8"/>
      <c r="I54" s="8"/>
      <c r="J54" s="8"/>
    </row>
    <row r="55" spans="1:10" x14ac:dyDescent="0.35">
      <c r="A55" s="17"/>
      <c r="B55" s="8"/>
      <c r="C55" s="8"/>
      <c r="D55" s="8"/>
      <c r="E55" s="8"/>
      <c r="F55" s="8"/>
      <c r="G55" s="8"/>
      <c r="H55" s="8"/>
      <c r="I55" s="8"/>
      <c r="J55" s="8"/>
    </row>
    <row r="56" spans="1:10" x14ac:dyDescent="0.35">
      <c r="A56" s="17"/>
      <c r="B56" s="8"/>
      <c r="C56" s="8"/>
      <c r="D56" s="8"/>
      <c r="E56" s="8"/>
      <c r="F56" s="8"/>
      <c r="G56" s="8"/>
      <c r="H56" s="8"/>
      <c r="I56" s="8"/>
      <c r="J56" s="8"/>
    </row>
    <row r="57" spans="1:10" x14ac:dyDescent="0.35">
      <c r="A57" s="17"/>
      <c r="B57" s="8"/>
      <c r="C57" s="8"/>
      <c r="D57" s="8"/>
      <c r="E57" s="8"/>
      <c r="F57" s="8"/>
      <c r="G57" s="8"/>
      <c r="H57" s="8"/>
      <c r="I57" s="8"/>
      <c r="J57" s="8"/>
    </row>
    <row r="58" spans="1:10" x14ac:dyDescent="0.35">
      <c r="A58" s="17"/>
      <c r="B58" s="8"/>
      <c r="C58" s="8"/>
      <c r="D58" s="8"/>
      <c r="E58" s="8"/>
      <c r="F58" s="8"/>
      <c r="G58" s="8"/>
      <c r="H58" s="8"/>
      <c r="I58" s="8"/>
      <c r="J58" s="8"/>
    </row>
    <row r="59" spans="1:10" x14ac:dyDescent="0.35">
      <c r="A59" s="17"/>
      <c r="B59" s="8"/>
      <c r="C59" s="8"/>
      <c r="D59" s="8"/>
      <c r="E59" s="8"/>
      <c r="F59" s="8"/>
      <c r="G59" s="8"/>
      <c r="H59" s="8"/>
      <c r="I59" s="8"/>
      <c r="J59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oja1.CURVA_OIS">
                <anchor moveWithCells="1" sizeWithCells="1">
                  <from>
                    <xdr:col>12</xdr:col>
                    <xdr:colOff>44450</xdr:colOff>
                    <xdr:row>3</xdr:row>
                    <xdr:rowOff>76200</xdr:rowOff>
                  </from>
                  <to>
                    <xdr:col>14</xdr:col>
                    <xdr:colOff>38100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Reset_ESTER">
                <anchor moveWithCells="1" sizeWithCells="1">
                  <from>
                    <xdr:col>14</xdr:col>
                    <xdr:colOff>755650</xdr:colOff>
                    <xdr:row>3</xdr:row>
                    <xdr:rowOff>82550</xdr:rowOff>
                  </from>
                  <to>
                    <xdr:col>16</xdr:col>
                    <xdr:colOff>654050</xdr:colOff>
                    <xdr:row>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DN146"/>
  <sheetViews>
    <sheetView showGridLines="0" tabSelected="1" topLeftCell="O1" zoomScale="90" zoomScaleNormal="90" workbookViewId="0">
      <selection activeCell="R8" sqref="R8:R15"/>
    </sheetView>
  </sheetViews>
  <sheetFormatPr defaultColWidth="11.453125" defaultRowHeight="14.5" x14ac:dyDescent="0.35"/>
  <cols>
    <col min="1" max="1" width="5.453125" customWidth="1"/>
    <col min="2" max="3" width="7" bestFit="1" customWidth="1"/>
    <col min="4" max="5" width="12" bestFit="1" customWidth="1"/>
    <col min="6" max="6" width="16.08984375" bestFit="1" customWidth="1"/>
    <col min="7" max="7" width="8.453125" bestFit="1" customWidth="1"/>
    <col min="8" max="8" width="14.90625" bestFit="1" customWidth="1"/>
    <col min="9" max="9" width="12.6328125" bestFit="1" customWidth="1"/>
    <col min="10" max="10" width="5.08984375" style="107" customWidth="1"/>
    <col min="11" max="11" width="11.453125" customWidth="1"/>
    <col min="12" max="12" width="10.08984375" style="8" customWidth="1"/>
    <col min="13" max="13" width="12" bestFit="1" customWidth="1"/>
    <col min="14" max="14" width="15.08984375" bestFit="1" customWidth="1"/>
    <col min="15" max="15" width="12.6328125" bestFit="1" customWidth="1"/>
    <col min="16" max="16" width="14.453125" bestFit="1" customWidth="1"/>
    <col min="17" max="17" width="13.36328125" bestFit="1" customWidth="1"/>
    <col min="18" max="18" width="12.54296875" bestFit="1" customWidth="1"/>
    <col min="19" max="19" width="16.08984375" customWidth="1"/>
    <col min="20" max="20" width="12.36328125" bestFit="1" customWidth="1"/>
    <col min="21" max="21" width="13.36328125" style="1" bestFit="1" customWidth="1"/>
    <col min="22" max="23" width="13.36328125" bestFit="1" customWidth="1"/>
    <col min="24" max="24" width="8.90625" bestFit="1" customWidth="1"/>
    <col min="25" max="25" width="11.54296875" bestFit="1" customWidth="1"/>
    <col min="26" max="26" width="16.6328125" bestFit="1" customWidth="1"/>
    <col min="27" max="27" width="19" style="8" bestFit="1" customWidth="1"/>
    <col min="28" max="28" width="5.08984375" style="107" customWidth="1"/>
    <col min="29" max="30" width="11.54296875" bestFit="1" customWidth="1"/>
    <col min="31" max="31" width="16.90625" customWidth="1"/>
    <col min="32" max="32" width="16.08984375" bestFit="1" customWidth="1"/>
    <col min="33" max="33" width="9.54296875" bestFit="1" customWidth="1"/>
    <col min="35" max="35" width="8.453125" bestFit="1" customWidth="1"/>
    <col min="38" max="38" width="13.36328125" customWidth="1"/>
    <col min="39" max="39" width="12.36328125" customWidth="1"/>
    <col min="44" max="44" width="16.6328125" bestFit="1" customWidth="1"/>
  </cols>
  <sheetData>
    <row r="1" spans="1:118" s="18" customFormat="1" ht="23.5" x14ac:dyDescent="0.55000000000000004">
      <c r="A1" s="37"/>
      <c r="B1" s="41" t="s">
        <v>62</v>
      </c>
      <c r="C1" s="38"/>
      <c r="D1" s="37"/>
      <c r="E1" s="38"/>
      <c r="F1" s="38"/>
      <c r="G1" s="37"/>
      <c r="H1" s="38"/>
      <c r="I1" s="38"/>
      <c r="J1" s="106"/>
      <c r="K1" s="38"/>
      <c r="L1" s="41" t="s">
        <v>63</v>
      </c>
      <c r="M1" s="38"/>
      <c r="N1" s="38"/>
      <c r="O1" s="37"/>
      <c r="P1" s="38"/>
      <c r="Q1" s="38"/>
      <c r="R1" s="37"/>
      <c r="S1" s="38"/>
      <c r="T1" s="38"/>
      <c r="U1" s="37"/>
      <c r="V1" s="38"/>
      <c r="W1" s="38"/>
      <c r="X1" s="38"/>
      <c r="Y1" s="38"/>
      <c r="Z1" s="38"/>
      <c r="AA1" s="38"/>
      <c r="AB1" s="106"/>
      <c r="AC1" s="38"/>
      <c r="AD1" s="41" t="s">
        <v>65</v>
      </c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</row>
    <row r="2" spans="1:118" s="19" customFormat="1" x14ac:dyDescent="0.35">
      <c r="C2" s="114"/>
      <c r="D2" s="114"/>
      <c r="E2" s="215"/>
      <c r="F2" s="215"/>
      <c r="G2" s="215"/>
      <c r="H2" s="215"/>
      <c r="J2" s="107"/>
      <c r="AB2" s="107"/>
    </row>
    <row r="3" spans="1:118" ht="15" thickBot="1" x14ac:dyDescent="0.4">
      <c r="A3" s="19"/>
      <c r="B3" s="204"/>
      <c r="C3" s="42" t="s">
        <v>0</v>
      </c>
      <c r="D3" s="39" t="s">
        <v>1</v>
      </c>
      <c r="E3" s="42" t="s">
        <v>2</v>
      </c>
      <c r="F3" s="42" t="s">
        <v>3</v>
      </c>
      <c r="G3" s="42" t="s">
        <v>4</v>
      </c>
      <c r="H3" s="42" t="s">
        <v>7</v>
      </c>
      <c r="AA3"/>
      <c r="AD3" s="91" t="s">
        <v>0</v>
      </c>
      <c r="AE3" s="92" t="s">
        <v>2</v>
      </c>
      <c r="AF3" s="90" t="s">
        <v>21</v>
      </c>
      <c r="AG3" s="90" t="s">
        <v>7</v>
      </c>
      <c r="AH3" s="90" t="s">
        <v>6</v>
      </c>
      <c r="AI3" s="90" t="s">
        <v>52</v>
      </c>
      <c r="AK3" s="19"/>
    </row>
    <row r="4" spans="1:118" x14ac:dyDescent="0.35">
      <c r="A4" s="19"/>
      <c r="B4" s="36">
        <v>6</v>
      </c>
      <c r="C4" s="146" t="s">
        <v>20</v>
      </c>
      <c r="D4" s="147">
        <v>44358</v>
      </c>
      <c r="E4" s="216">
        <v>44362</v>
      </c>
      <c r="F4" s="148">
        <f t="shared" ref="F4:F15" si="0">WORKDAY((EDATE(E4,B4))-1,1)</f>
        <v>44545</v>
      </c>
      <c r="G4" s="149">
        <v>-5.0800000000000003E-3</v>
      </c>
      <c r="H4" s="150">
        <f t="shared" ref="H4:H11" si="1">VLOOKUP(C4,$L$8:$T$15,9,FALSE)</f>
        <v>-5.1572172521559137E-3</v>
      </c>
      <c r="I4" s="20"/>
      <c r="AA4"/>
      <c r="AD4" s="108" t="s">
        <v>66</v>
      </c>
      <c r="AE4" s="31">
        <f>D4</f>
        <v>44358</v>
      </c>
      <c r="AF4" s="223">
        <f>(WORKDAY(AE4,2))</f>
        <v>44362</v>
      </c>
      <c r="AG4" s="169">
        <f>AG5</f>
        <v>-5.1572172521559137E-3</v>
      </c>
      <c r="AH4" s="95"/>
      <c r="AI4" s="97"/>
      <c r="AK4" s="19"/>
      <c r="AR4" s="21"/>
      <c r="AU4" s="21"/>
      <c r="AW4" s="250"/>
      <c r="BB4" s="251"/>
    </row>
    <row r="5" spans="1:118" x14ac:dyDescent="0.35">
      <c r="A5" s="19"/>
      <c r="B5" s="36">
        <v>7</v>
      </c>
      <c r="C5" s="151" t="s">
        <v>30</v>
      </c>
      <c r="D5" s="152">
        <v>44358</v>
      </c>
      <c r="E5" s="217">
        <v>44362</v>
      </c>
      <c r="F5" s="153">
        <f t="shared" si="0"/>
        <v>44578</v>
      </c>
      <c r="G5" s="154">
        <v>-5.2599999999999999E-3</v>
      </c>
      <c r="H5" s="155">
        <f t="shared" si="1"/>
        <v>-5.3148851408716998E-3</v>
      </c>
      <c r="I5" s="2"/>
      <c r="O5" s="22"/>
      <c r="P5" s="22"/>
      <c r="T5" s="1"/>
      <c r="U5" s="2"/>
      <c r="W5" s="2"/>
      <c r="AA5"/>
      <c r="AD5" s="108" t="s">
        <v>20</v>
      </c>
      <c r="AE5" s="224">
        <f>O8</f>
        <v>44362</v>
      </c>
      <c r="AF5" s="225">
        <f>P8</f>
        <v>44545</v>
      </c>
      <c r="AG5" s="170">
        <f t="shared" ref="AG5:AG19" si="2">InterpolaLineal(AF5,$F$4:$F$15,$H$4:$H$15)</f>
        <v>-5.1572172521559137E-3</v>
      </c>
      <c r="AH5" s="172">
        <f t="shared" ref="AH5:AH19" si="3">EXP(-AG5*(YEARFRAC($AF$4,AF5,3)))</f>
        <v>1.0025890190435101</v>
      </c>
      <c r="AI5" s="221">
        <f>(EXP(-(InterpolaLineal(AE5,$AF$4:$AF$19,$AG$4:$AG$19))*(YEARFRAC($AF$4,AE5,3)))/EXP(-(InterpolaLineal(AF5,$AF$4:$AF$19,$AG$4:$AG$19))*(YEARFRAC($AF$4,AF5,3)))-1)/(YEARFRAC(AE5,AF5,2))</f>
        <v>-5.0800000000000393E-3</v>
      </c>
      <c r="AK5" s="19"/>
      <c r="AR5" s="21"/>
      <c r="AU5" s="21"/>
      <c r="AW5" s="250"/>
      <c r="BB5" s="251"/>
    </row>
    <row r="6" spans="1:118" ht="15" thickBot="1" x14ac:dyDescent="0.4">
      <c r="A6" s="19"/>
      <c r="B6" s="36">
        <v>8</v>
      </c>
      <c r="C6" s="151" t="s">
        <v>31</v>
      </c>
      <c r="D6" s="152">
        <v>44358</v>
      </c>
      <c r="E6" s="217">
        <v>44362</v>
      </c>
      <c r="F6" s="153">
        <f t="shared" si="0"/>
        <v>44607</v>
      </c>
      <c r="G6" s="154">
        <v>-5.2500000000000003E-3</v>
      </c>
      <c r="H6" s="155">
        <f t="shared" si="1"/>
        <v>-5.2862993599679204E-3</v>
      </c>
      <c r="I6" s="2"/>
      <c r="L6" s="91" t="s">
        <v>0</v>
      </c>
      <c r="M6" s="90" t="s">
        <v>1</v>
      </c>
      <c r="N6" s="90" t="s">
        <v>43</v>
      </c>
      <c r="O6" s="91" t="s">
        <v>2</v>
      </c>
      <c r="P6" s="90" t="s">
        <v>21</v>
      </c>
      <c r="Q6" s="90" t="s">
        <v>4</v>
      </c>
      <c r="R6" s="90" t="s">
        <v>29</v>
      </c>
      <c r="S6" s="90" t="s">
        <v>44</v>
      </c>
      <c r="T6" s="90" t="s">
        <v>24</v>
      </c>
      <c r="U6" s="90" t="s">
        <v>52</v>
      </c>
      <c r="AA6"/>
      <c r="AD6" s="108" t="s">
        <v>30</v>
      </c>
      <c r="AE6" s="224">
        <f t="shared" ref="AE6:AE12" si="4">O9</f>
        <v>44392</v>
      </c>
      <c r="AF6" s="225">
        <f t="shared" ref="AF6:AF12" si="5">P9</f>
        <v>44578</v>
      </c>
      <c r="AG6" s="170">
        <f t="shared" si="2"/>
        <v>-5.3148851408716998E-3</v>
      </c>
      <c r="AH6" s="172">
        <f t="shared" si="3"/>
        <v>1.0031501985765625</v>
      </c>
      <c r="AI6" s="221">
        <f>(EXP(-(InterpolaLineal(AE6,$AF$4:$AF$19,$AG$4:$AG$19))*(YEARFRAC($AF$4,AE6,3)))/EXP(-(InterpolaLineal(AF6,$AF$4:$AF$19,$AG$4:$AG$19))*(YEARFRAC($AF$4,AF6,3)))-1)/(YEARFRAC(AE6,AF6,2))</f>
        <v>-5.2600000000001205E-3</v>
      </c>
      <c r="AK6" s="19"/>
      <c r="AR6" s="21"/>
      <c r="AU6" s="21"/>
      <c r="AW6" s="250"/>
      <c r="BB6" s="251"/>
    </row>
    <row r="7" spans="1:118" x14ac:dyDescent="0.35">
      <c r="A7" s="19"/>
      <c r="B7" s="36">
        <v>9</v>
      </c>
      <c r="C7" s="151" t="s">
        <v>32</v>
      </c>
      <c r="D7" s="152">
        <v>44358</v>
      </c>
      <c r="E7" s="217">
        <v>44362</v>
      </c>
      <c r="F7" s="153">
        <f t="shared" si="0"/>
        <v>44635</v>
      </c>
      <c r="G7" s="154">
        <v>-5.2599999999999999E-3</v>
      </c>
      <c r="H7" s="155">
        <f t="shared" si="1"/>
        <v>-5.27848240571496E-3</v>
      </c>
      <c r="I7" s="2"/>
      <c r="K7" s="24"/>
      <c r="L7" s="94"/>
      <c r="M7" s="14">
        <f>D4</f>
        <v>44358</v>
      </c>
      <c r="O7" s="14">
        <f>M7</f>
        <v>44358</v>
      </c>
      <c r="P7" s="120">
        <f>(WORKDAY(O7,2))</f>
        <v>44362</v>
      </c>
      <c r="Q7" s="97"/>
      <c r="R7" s="97"/>
      <c r="S7" s="95">
        <v>1</v>
      </c>
      <c r="T7" s="123">
        <f>T8</f>
        <v>-5.1572172521559137E-3</v>
      </c>
      <c r="U7" s="97"/>
      <c r="Z7" s="26"/>
      <c r="AA7"/>
      <c r="AD7" s="109" t="s">
        <v>31</v>
      </c>
      <c r="AE7" s="224">
        <f t="shared" si="4"/>
        <v>44424</v>
      </c>
      <c r="AF7" s="225">
        <f t="shared" si="5"/>
        <v>44607</v>
      </c>
      <c r="AG7" s="170">
        <f t="shared" si="2"/>
        <v>-5.2862993599679204E-3</v>
      </c>
      <c r="AH7" s="172">
        <f t="shared" si="3"/>
        <v>1.0035546407301952</v>
      </c>
      <c r="AI7" s="221">
        <f>(EXP(-(InterpolaLineal(AE7,$AF$4:$AF$19,$AG$4:$AG$19))*(YEARFRAC($AF$4,AE7,3)))/EXP(-(InterpolaLineal(AF7,$AF$4:$AF$19,$AG$4:$AG$19))*(YEARFRAC($AF$4,AF7,3)))-1)/(YEARFRAC(AE7,AF7,2))</f>
        <v>-5.2499999999999951E-3</v>
      </c>
      <c r="AK7" s="19"/>
      <c r="AR7" s="21"/>
      <c r="AU7" s="21"/>
      <c r="AW7" s="250"/>
      <c r="BB7" s="251"/>
    </row>
    <row r="8" spans="1:118" x14ac:dyDescent="0.35">
      <c r="A8" s="19"/>
      <c r="B8" s="36">
        <v>10</v>
      </c>
      <c r="C8" s="151" t="s">
        <v>33</v>
      </c>
      <c r="D8" s="152">
        <v>44358</v>
      </c>
      <c r="E8" s="217">
        <v>44362</v>
      </c>
      <c r="F8" s="153">
        <f t="shared" si="0"/>
        <v>44666</v>
      </c>
      <c r="G8" s="154">
        <v>-5.2300000000000003E-3</v>
      </c>
      <c r="H8" s="155">
        <f t="shared" si="1"/>
        <v>-5.2484832201098782E-3</v>
      </c>
      <c r="I8" s="2"/>
      <c r="L8" s="108" t="s">
        <v>20</v>
      </c>
      <c r="M8" s="14">
        <f t="shared" ref="M8:M15" si="6">$M$7</f>
        <v>44358</v>
      </c>
      <c r="N8" s="14">
        <f>E4</f>
        <v>44362</v>
      </c>
      <c r="O8" s="14">
        <f>E4</f>
        <v>44362</v>
      </c>
      <c r="P8" s="121">
        <f t="shared" ref="P8:P15" si="7">F4</f>
        <v>44545</v>
      </c>
      <c r="Q8" s="118">
        <f t="shared" ref="Q8:Q15" si="8">VLOOKUP(P8,$F$4:$G$15,2,FALSE)</f>
        <v>-5.0800000000000003E-3</v>
      </c>
      <c r="R8" s="262">
        <f>-1*S7+(1+Q8*(YEARFRAC(N8,P8,2)))*S8</f>
        <v>0</v>
      </c>
      <c r="S8" s="80">
        <f t="shared" ref="S8:S15" si="9">EXP(-T8*(YEARFRAC(N8,P8,3)))</f>
        <v>1.0025890190435101</v>
      </c>
      <c r="T8" s="124">
        <f>-LN(1/(1+Q8*(YEARFRAC(N8,P8,2))))/(YEARFRAC(N8,P8,3))</f>
        <v>-5.1572172521559137E-3</v>
      </c>
      <c r="U8" s="118">
        <f t="shared" ref="U8:U15" si="10">(S7/S8-1)/(YEARFRAC(O8,P8,2))</f>
        <v>-5.0800000000000393E-3</v>
      </c>
      <c r="Z8" s="26"/>
      <c r="AA8" s="4"/>
      <c r="AD8" s="109" t="s">
        <v>32</v>
      </c>
      <c r="AE8" s="224">
        <f t="shared" si="4"/>
        <v>44454</v>
      </c>
      <c r="AF8" s="225">
        <f t="shared" si="5"/>
        <v>44635</v>
      </c>
      <c r="AG8" s="170">
        <f t="shared" si="2"/>
        <v>-5.27848240571496E-3</v>
      </c>
      <c r="AH8" s="172">
        <f t="shared" si="3"/>
        <v>1.0039558192874847</v>
      </c>
      <c r="AI8" s="221">
        <f>(EXP(-(InterpolaLineal(AE8,$AF$4:$AF$19,$AG$4:$AG$19))*(YEARFRAC($AF$4,AE8,3)))/EXP(-(InterpolaLineal(AF8,$AF$4:$AF$19,$AG$4:$AG$19))*(YEARFRAC($AF$4,AF8,3)))-1)/(YEARFRAC(AE8,AF8,2))</f>
        <v>-5.2599999999998351E-3</v>
      </c>
      <c r="AK8" s="19"/>
      <c r="AR8" s="21"/>
      <c r="AU8" s="21"/>
      <c r="AW8" s="250"/>
      <c r="BB8" s="251"/>
    </row>
    <row r="9" spans="1:118" x14ac:dyDescent="0.35">
      <c r="A9" s="19"/>
      <c r="B9" s="36">
        <v>11</v>
      </c>
      <c r="C9" s="151" t="s">
        <v>34</v>
      </c>
      <c r="D9" s="152">
        <v>44358</v>
      </c>
      <c r="E9" s="217">
        <v>44362</v>
      </c>
      <c r="F9" s="153">
        <f t="shared" si="0"/>
        <v>44697</v>
      </c>
      <c r="G9" s="154">
        <v>-5.28E-3</v>
      </c>
      <c r="H9" s="155">
        <f t="shared" si="1"/>
        <v>-5.267652536147127E-3</v>
      </c>
      <c r="I9" s="35"/>
      <c r="K9" s="24"/>
      <c r="L9" s="108" t="s">
        <v>30</v>
      </c>
      <c r="M9" s="14">
        <f t="shared" si="6"/>
        <v>44358</v>
      </c>
      <c r="N9" s="14">
        <f t="shared" ref="N9:N15" si="11">$N$8</f>
        <v>44362</v>
      </c>
      <c r="O9" s="13">
        <f>(WORKDAY((EDATE($N$9,1))-1,1))</f>
        <v>44392</v>
      </c>
      <c r="P9" s="121">
        <f t="shared" si="7"/>
        <v>44578</v>
      </c>
      <c r="Q9" s="118">
        <f t="shared" si="8"/>
        <v>-5.2599999999999999E-3</v>
      </c>
      <c r="R9" s="262">
        <f>-1+(1+Q9*(YEARFRAC(O9,P9,2)))*EXP(-(InterpolaLineal(P9,$P$7:$P$15,$T$7:$T$15))*(YEARFRAC(N9,P9,3)))/EXP(-(InterpolaLineal(O9,$P$7:$P$15,$T$7:$T$15))*(YEARFRAC(N9,O9,3)))</f>
        <v>0</v>
      </c>
      <c r="S9" s="80">
        <f>EXP(-T9*(YEARFRAC(N9,P9,3)))</f>
        <v>1.0031501985765625</v>
      </c>
      <c r="T9" s="124">
        <f>-LN(EXP(-InterpolaLineal(O9,$P$7:P8,$T$7:T8)*YEARFRAC(N9,O9,3))/(1+Q9*YEARFRAC(O9,P9,2)))/YEARFRAC(N9,P9,3)</f>
        <v>-5.3148851408716998E-3</v>
      </c>
      <c r="U9" s="118">
        <f>(EXP(-InterpolaLineal(O9,$P$8:$P$15,$T$8:$T$15)*YEARFRAC(N9,O9,3))/(EXP(-InterpolaLineal(P9,$P$8:$P$15,$T$8:$T$15)*YEARFRAC(N9,P9,3)))-1)/YEARFRAC(O9,P9,2)</f>
        <v>-5.2600000000001205E-3</v>
      </c>
      <c r="Z9" s="26"/>
      <c r="AA9" s="4"/>
      <c r="AD9" s="109" t="s">
        <v>33</v>
      </c>
      <c r="AE9" s="224">
        <f t="shared" si="4"/>
        <v>44484</v>
      </c>
      <c r="AF9" s="225">
        <f t="shared" si="5"/>
        <v>44666</v>
      </c>
      <c r="AG9" s="170">
        <f t="shared" si="2"/>
        <v>-5.2484832201098782E-3</v>
      </c>
      <c r="AH9" s="172">
        <f t="shared" si="3"/>
        <v>1.0043809076902972</v>
      </c>
      <c r="AI9" s="221">
        <f>(EXP(-(InterpolaLineal(AE9,$AF$4:$AF$19,$AG$4:$AG$19))*(YEARFRAC($AF$4,AE9,3)))/EXP(-(InterpolaLineal(AF9,$AF$4:$AF$19,$AG$4:$AG$19))*(YEARFRAC($AF$4,AF9,3)))-1)/(YEARFRAC(AE9,AF9,2))</f>
        <v>-5.2300000000002683E-3</v>
      </c>
      <c r="AK9" s="19"/>
      <c r="AR9" s="21"/>
      <c r="AU9" s="21"/>
      <c r="AW9" s="250"/>
      <c r="BB9" s="251"/>
    </row>
    <row r="10" spans="1:118" x14ac:dyDescent="0.35">
      <c r="A10" s="19"/>
      <c r="B10" s="36">
        <v>12</v>
      </c>
      <c r="C10" s="151" t="s">
        <v>35</v>
      </c>
      <c r="D10" s="152">
        <v>44358</v>
      </c>
      <c r="E10" s="217">
        <v>44362</v>
      </c>
      <c r="F10" s="153">
        <f t="shared" si="0"/>
        <v>44727</v>
      </c>
      <c r="G10" s="154">
        <v>-5.2300000000000003E-3</v>
      </c>
      <c r="H10" s="155">
        <f t="shared" si="1"/>
        <v>-5.2332305514927856E-3</v>
      </c>
      <c r="I10" s="2"/>
      <c r="K10" s="24"/>
      <c r="L10" s="109" t="s">
        <v>31</v>
      </c>
      <c r="M10" s="14">
        <f t="shared" si="6"/>
        <v>44358</v>
      </c>
      <c r="N10" s="14">
        <f t="shared" si="11"/>
        <v>44362</v>
      </c>
      <c r="O10" s="13">
        <f>(WORKDAY((EDATE($N$9,2))-1,1))</f>
        <v>44424</v>
      </c>
      <c r="P10" s="121">
        <f t="shared" si="7"/>
        <v>44607</v>
      </c>
      <c r="Q10" s="118">
        <f t="shared" si="8"/>
        <v>-5.2500000000000003E-3</v>
      </c>
      <c r="R10" s="262">
        <f>-1+(1+Q10*(YEARFRAC(O10,P10,2)))*EXP(-(InterpolaLineal(P10,$P$7:$P$15,$T$7:$T$15))*(YEARFRAC(N10,P10,3)))/EXP(-(InterpolaLineal(O10,$P$7:$P$15,$T$7:$T$15))*(YEARFRAC(N10,O10,3)))</f>
        <v>0</v>
      </c>
      <c r="S10" s="80">
        <f t="shared" si="9"/>
        <v>1.0035546407301952</v>
      </c>
      <c r="T10" s="124">
        <f>-LN(EXP(-InterpolaLineal(O10,$P$7:P9,$T$7:T9)*YEARFRAC(N10,O10,3))/(1+Q10*YEARFRAC(O10,P10,2)))/YEARFRAC(N10,P10,3)</f>
        <v>-5.2862993599679204E-3</v>
      </c>
      <c r="U10" s="118">
        <f>(EXP(-InterpolaLineal(O10,$P$8:$P$15,$T$8:$T$15)*YEARFRAC(N10,O10,3))/(EXP(-InterpolaLineal(P10,$P$8:$P$15,$T$8:$T$15)*YEARFRAC(N10,P10,3)))-1)/YEARFRAC(O10,P10,2)</f>
        <v>-5.2499999999999951E-3</v>
      </c>
      <c r="Z10" s="26"/>
      <c r="AA10" s="4"/>
      <c r="AD10" s="109" t="s">
        <v>34</v>
      </c>
      <c r="AE10" s="224">
        <f t="shared" si="4"/>
        <v>44515</v>
      </c>
      <c r="AF10" s="225">
        <f t="shared" si="5"/>
        <v>44697</v>
      </c>
      <c r="AG10" s="170">
        <f t="shared" si="2"/>
        <v>-5.267652536147127E-3</v>
      </c>
      <c r="AH10" s="172">
        <f t="shared" si="3"/>
        <v>1.0048464007876898</v>
      </c>
      <c r="AI10" s="221">
        <f>(EXP(-(InterpolaLineal(AE10,$AF$4:$AF$19,$AG$4:$AG$19))*(YEARFRAC($AF$4,AE10,3)))/EXP(-(InterpolaLineal(AF10,$AF$4:$AF$19,$AG$4:$AG$19))*(YEARFRAC($AF$4,AF10,3)))-1)/(YEARFRAC(AE10,AF10,2))</f>
        <v>-5.280000000000157E-3</v>
      </c>
      <c r="AK10" s="19"/>
      <c r="AR10" s="21"/>
      <c r="AU10" s="21"/>
      <c r="AW10" s="250"/>
      <c r="BB10" s="251"/>
    </row>
    <row r="11" spans="1:118" x14ac:dyDescent="0.35">
      <c r="A11" s="19"/>
      <c r="B11" s="36">
        <v>18</v>
      </c>
      <c r="C11" s="151" t="s">
        <v>37</v>
      </c>
      <c r="D11" s="152">
        <v>44358</v>
      </c>
      <c r="E11" s="217">
        <v>44362</v>
      </c>
      <c r="F11" s="153">
        <f t="shared" si="0"/>
        <v>44910</v>
      </c>
      <c r="G11" s="154">
        <v>-5.2100000000000002E-3</v>
      </c>
      <c r="H11" s="155">
        <f t="shared" si="1"/>
        <v>-5.2519773256759789E-3</v>
      </c>
      <c r="I11" s="2"/>
      <c r="L11" s="109" t="s">
        <v>32</v>
      </c>
      <c r="M11" s="14">
        <f t="shared" si="6"/>
        <v>44358</v>
      </c>
      <c r="N11" s="14">
        <f t="shared" si="11"/>
        <v>44362</v>
      </c>
      <c r="O11" s="13">
        <f>(WORKDAY((EDATE($N$9,3))-1,1))</f>
        <v>44454</v>
      </c>
      <c r="P11" s="121">
        <f t="shared" si="7"/>
        <v>44635</v>
      </c>
      <c r="Q11" s="118">
        <f t="shared" si="8"/>
        <v>-5.2599999999999999E-3</v>
      </c>
      <c r="R11" s="262">
        <f>-1+(1+Q11*(YEARFRAC(O11,P11,2)))*EXP(-(InterpolaLineal(P11,$P$7:$P$15,$T$7:$T$15))*(YEARFRAC(N11,P11,3)))/EXP(-(InterpolaLineal(O11,$P$7:$P$15,$T$7:$T$15))*(YEARFRAC(N11,O11,3)))</f>
        <v>0</v>
      </c>
      <c r="S11" s="80">
        <f t="shared" si="9"/>
        <v>1.0039558192874847</v>
      </c>
      <c r="T11" s="124">
        <f>-LN(EXP(-InterpolaLineal(O11,$P$7:P10,$T$7:T10)*YEARFRAC(N11,O11,3))/(1+Q11*YEARFRAC(O11,P11,2)))/YEARFRAC(N11,P11,3)</f>
        <v>-5.27848240571496E-3</v>
      </c>
      <c r="U11" s="118">
        <f>(EXP(-InterpolaLineal(O11,$P$8:$P$15,$T$8:$T$15)*YEARFRAC(N11,O11,3))/(EXP(-InterpolaLineal(P11,$P$8:$P$15,$T$8:$T$15)*YEARFRAC(N11,P11,3)))-1)/YEARFRAC(O11,P11,2)</f>
        <v>-5.2599999999998351E-3</v>
      </c>
      <c r="Z11" s="26"/>
      <c r="AA11" s="4"/>
      <c r="AD11" s="109" t="s">
        <v>35</v>
      </c>
      <c r="AE11" s="224">
        <f t="shared" si="4"/>
        <v>44545</v>
      </c>
      <c r="AF11" s="225">
        <f t="shared" si="5"/>
        <v>44727</v>
      </c>
      <c r="AG11" s="170">
        <f t="shared" si="2"/>
        <v>-5.2332305514927856E-3</v>
      </c>
      <c r="AH11" s="172">
        <f t="shared" si="3"/>
        <v>1.0052469478206003</v>
      </c>
      <c r="AI11" s="221">
        <f>(EXP(-(InterpolaLineal(AE11,$AF$4:$AF$19,$AG$4:$AG$19))*(YEARFRAC($AF$4,AE11,3)))/EXP(-(InterpolaLineal(AF11,$AF$4:$AF$19,$AG$4:$AG$19))*(YEARFRAC($AF$4,AF11,3)))-1)/(YEARFRAC(AE11,AF11,2))</f>
        <v>-5.2299999999998294E-3</v>
      </c>
      <c r="AK11" s="19"/>
      <c r="AR11" s="21"/>
      <c r="AU11" s="21"/>
      <c r="AW11" s="250"/>
      <c r="BB11" s="251"/>
    </row>
    <row r="12" spans="1:118" x14ac:dyDescent="0.35">
      <c r="A12" s="19"/>
      <c r="B12" s="36">
        <f>12*2</f>
        <v>24</v>
      </c>
      <c r="C12" s="141" t="s">
        <v>39</v>
      </c>
      <c r="D12" s="48">
        <v>44358</v>
      </c>
      <c r="E12" s="218">
        <v>44362</v>
      </c>
      <c r="F12" s="49">
        <f t="shared" si="0"/>
        <v>45092</v>
      </c>
      <c r="G12" s="50">
        <v>-5.2100000000000002E-3</v>
      </c>
      <c r="H12" s="144">
        <f>VLOOKUP(C12,$X$35:$Z$38,3,FALSE)</f>
        <v>-5.2252517565995176E-3</v>
      </c>
      <c r="I12" s="2"/>
      <c r="K12" s="24"/>
      <c r="L12" s="109" t="s">
        <v>33</v>
      </c>
      <c r="M12" s="14">
        <f t="shared" si="6"/>
        <v>44358</v>
      </c>
      <c r="N12" s="14">
        <f t="shared" si="11"/>
        <v>44362</v>
      </c>
      <c r="O12" s="13">
        <f>(WORKDAY((EDATE($N$9,4))-1,1))</f>
        <v>44484</v>
      </c>
      <c r="P12" s="121">
        <f t="shared" si="7"/>
        <v>44666</v>
      </c>
      <c r="Q12" s="118">
        <f t="shared" si="8"/>
        <v>-5.2300000000000003E-3</v>
      </c>
      <c r="R12" s="262">
        <f>-1+(1+Q12*(YEARFRAC(O12,P12,2)))*EXP(-(InterpolaLineal(P12,$P$7:$P$15,$T$7:$T$15))*(YEARFRAC(N12,P12,3)))/EXP(-(InterpolaLineal(O12,$P$7:$P$15,$T$7:$T$15))*(YEARFRAC(N12,O12,3)))</f>
        <v>0</v>
      </c>
      <c r="S12" s="80">
        <f t="shared" si="9"/>
        <v>1.0043809076902972</v>
      </c>
      <c r="T12" s="124">
        <f>-LN(EXP(-InterpolaLineal(O12,$P$7:P11,$T$7:T11)*YEARFRAC(N12,O12,3))/(1+Q12*YEARFRAC(O12,P12,2)))/YEARFRAC(N12,P12,3)</f>
        <v>-5.2484832201098782E-3</v>
      </c>
      <c r="U12" s="118">
        <f>(EXP(-InterpolaLineal(O12,$P$8:$P$15,$T$8:$T$15)*YEARFRAC(N12,O12,3))/(EXP(-InterpolaLineal(P12,$P$8:$P$15,$T$8:$T$15)*YEARFRAC(N12,P12,3)))-1)/YEARFRAC(O12,P12,2)</f>
        <v>-5.2300000000002683E-3</v>
      </c>
      <c r="Z12" s="26"/>
      <c r="AA12" s="4"/>
      <c r="AD12" s="109" t="s">
        <v>37</v>
      </c>
      <c r="AE12" s="224">
        <f t="shared" si="4"/>
        <v>44727</v>
      </c>
      <c r="AF12" s="225">
        <f t="shared" si="5"/>
        <v>44910</v>
      </c>
      <c r="AG12" s="170">
        <f t="shared" si="2"/>
        <v>-5.2519773256759789E-3</v>
      </c>
      <c r="AH12" s="172">
        <f t="shared" si="3"/>
        <v>1.0079163302281822</v>
      </c>
      <c r="AI12" s="221">
        <f>(EXP(-(InterpolaLineal(AE12,$AF$4:$AF$19,$AG$4:$AG$19))*(YEARFRAC($AF$4,AE12,3)))/EXP(-(InterpolaLineal(AF12,$AF$4:$AF$19,$AG$4:$AG$19))*(YEARFRAC($AF$4,AF12,3)))-1)/(YEARFRAC(AE12,AF12,2))</f>
        <v>-5.2100000000000826E-3</v>
      </c>
      <c r="AK12" s="19"/>
      <c r="AR12" s="21"/>
      <c r="AU12" s="21"/>
      <c r="AW12" s="250"/>
      <c r="BB12" s="251"/>
    </row>
    <row r="13" spans="1:118" x14ac:dyDescent="0.35">
      <c r="A13" s="19"/>
      <c r="B13" s="36">
        <f>12*3</f>
        <v>36</v>
      </c>
      <c r="C13" s="141" t="s">
        <v>40</v>
      </c>
      <c r="D13" s="48">
        <v>44358</v>
      </c>
      <c r="E13" s="218">
        <v>44362</v>
      </c>
      <c r="F13" s="49">
        <f t="shared" si="0"/>
        <v>45460</v>
      </c>
      <c r="G13" s="50">
        <v>-5.0800000000000003E-3</v>
      </c>
      <c r="H13" s="144">
        <f>VLOOKUP(C13,$X$35:$Z$38,3,FALSE)</f>
        <v>-5.0910378632913833E-3</v>
      </c>
      <c r="I13" s="2"/>
      <c r="K13" s="24"/>
      <c r="L13" s="109" t="s">
        <v>34</v>
      </c>
      <c r="M13" s="14">
        <f t="shared" si="6"/>
        <v>44358</v>
      </c>
      <c r="N13" s="14">
        <f t="shared" si="11"/>
        <v>44362</v>
      </c>
      <c r="O13" s="13">
        <f>(WORKDAY((EDATE($N$9,5))-1,1))</f>
        <v>44515</v>
      </c>
      <c r="P13" s="121">
        <f t="shared" si="7"/>
        <v>44697</v>
      </c>
      <c r="Q13" s="118">
        <f t="shared" si="8"/>
        <v>-5.28E-3</v>
      </c>
      <c r="R13" s="262">
        <f>-1+(1+Q13*(YEARFRAC(O13,P13,2)))*EXP(-(InterpolaLineal(P13,$P$7:$P$15,$T$7:$T$15))*(YEARFRAC(N13,P13,3)))/EXP(-(InterpolaLineal(O13,$P$7:$P$15,$T$7:$T$15))*(YEARFRAC(N13,O13,3)))</f>
        <v>0</v>
      </c>
      <c r="S13" s="80">
        <f t="shared" si="9"/>
        <v>1.0048464007876898</v>
      </c>
      <c r="T13" s="124">
        <f>-LN(EXP(-InterpolaLineal(O13,$P$7:P12,$T$7:T12)*YEARFRAC(N13,O13,3))/(1+Q13*YEARFRAC(O13,P13,2)))/YEARFRAC(N13,P13,3)</f>
        <v>-5.267652536147127E-3</v>
      </c>
      <c r="U13" s="118">
        <f>(EXP(-InterpolaLineal(O13,$P$8:$P$15,$T$8:$T$15)*YEARFRAC(N13,O13,3))/(EXP(-InterpolaLineal(P13,$P$8:$P$15,$T$8:$T$15)*YEARFRAC(N13,P13,3)))-1)/YEARFRAC(O13,P13,2)</f>
        <v>-5.280000000000157E-3</v>
      </c>
      <c r="Z13" s="26"/>
      <c r="AA13"/>
      <c r="AD13" s="109" t="s">
        <v>39</v>
      </c>
      <c r="AE13" s="224">
        <f>N35</f>
        <v>44910</v>
      </c>
      <c r="AF13" s="225">
        <f>O35</f>
        <v>45092</v>
      </c>
      <c r="AG13" s="170">
        <f t="shared" si="2"/>
        <v>-5.2252517565995176E-3</v>
      </c>
      <c r="AH13" s="172">
        <f t="shared" si="3"/>
        <v>1.0105053007449056</v>
      </c>
      <c r="AI13" s="221">
        <f>(EXP(-(InterpolaLineal(AE13,$AF$4:$AF$19,$AG$4:$AG$19))*(YEARFRAC($AF$4,AE13,3)))/EXP(-(InterpolaLineal(AF13,$AF$4:$AF$19,$AG$4:$AG$19))*(YEARFRAC($AF$4,AF13,3)))-1)/(YEARFRAC(AE13,AF13,2))</f>
        <v>-5.0678018005000025E-3</v>
      </c>
      <c r="AK13" s="19"/>
      <c r="AR13" s="21"/>
      <c r="AU13" s="21"/>
      <c r="AW13" s="250"/>
      <c r="BB13" s="251"/>
    </row>
    <row r="14" spans="1:118" x14ac:dyDescent="0.35">
      <c r="A14" s="19"/>
      <c r="B14" s="36">
        <f>12*4</f>
        <v>48</v>
      </c>
      <c r="C14" s="141" t="s">
        <v>41</v>
      </c>
      <c r="D14" s="48">
        <v>44358</v>
      </c>
      <c r="E14" s="218">
        <v>44362</v>
      </c>
      <c r="F14" s="49">
        <f t="shared" si="0"/>
        <v>45824</v>
      </c>
      <c r="G14" s="50">
        <v>-4.8399999999999997E-3</v>
      </c>
      <c r="H14" s="144">
        <f>VLOOKUP(C14,$X$35:$Z$38,3,FALSE)</f>
        <v>-4.8533154141085005E-3</v>
      </c>
      <c r="I14" s="2"/>
      <c r="L14" s="109" t="s">
        <v>35</v>
      </c>
      <c r="M14" s="14">
        <f t="shared" si="6"/>
        <v>44358</v>
      </c>
      <c r="N14" s="14">
        <f t="shared" si="11"/>
        <v>44362</v>
      </c>
      <c r="O14" s="13">
        <f>(WORKDAY((EDATE($N$9,6))-1,1))</f>
        <v>44545</v>
      </c>
      <c r="P14" s="121">
        <f t="shared" si="7"/>
        <v>44727</v>
      </c>
      <c r="Q14" s="118">
        <f t="shared" si="8"/>
        <v>-5.2300000000000003E-3</v>
      </c>
      <c r="R14" s="262">
        <f>-1+(1+Q14*(YEARFRAC(O14,P14,2)))*EXP(-(InterpolaLineal(P14,$P$7:$P$15,$T$7:$T$15))*(YEARFRAC(N14,P14,3)))/EXP(-(InterpolaLineal(O14,$P$7:$P$15,$T$7:$T$15))*(YEARFRAC(N14,O14,3)))</f>
        <v>0</v>
      </c>
      <c r="S14" s="122">
        <f t="shared" si="9"/>
        <v>1.0052469478206003</v>
      </c>
      <c r="T14" s="124">
        <f>-LN(EXP(-InterpolaLineal(O14,$P$7:P13,$T$7:T13)*YEARFRAC(N14,O14,3))/(1+Q14*YEARFRAC(O14,P14,2)))/YEARFRAC(N14,P14,3)</f>
        <v>-5.2332305514927856E-3</v>
      </c>
      <c r="U14" s="118">
        <f>(EXP(-InterpolaLineal(O14,$P$8:$P$15,$T$8:$T$15)*YEARFRAC(N14,O14,3))/(EXP(-InterpolaLineal(P14,$P$8:$P$15,$T$8:$T$15)*YEARFRAC(N14,P14,3)))-1)/YEARFRAC(O14,P14,2)</f>
        <v>-5.2299999999998294E-3</v>
      </c>
      <c r="Z14" s="26"/>
      <c r="AA14"/>
      <c r="AD14" s="109" t="s">
        <v>67</v>
      </c>
      <c r="AE14" s="224">
        <f t="shared" ref="AE14:AE19" si="12">N36</f>
        <v>45092</v>
      </c>
      <c r="AF14" s="225">
        <f t="shared" ref="AF14:AF19" si="13">O36</f>
        <v>45275</v>
      </c>
      <c r="AG14" s="170">
        <f t="shared" si="2"/>
        <v>-5.1585095216120491E-3</v>
      </c>
      <c r="AH14" s="172">
        <f t="shared" si="3"/>
        <v>1.0129869475678293</v>
      </c>
      <c r="AI14" s="221">
        <f>(EXP(-(InterpolaLineal(AE14,$AF$4:$AF$19,$AG$4:$AG$19))*(YEARFRAC($AF$4,AE14,3)))/EXP(-(InterpolaLineal(AF14,$AF$4:$AF$19,$AG$4:$AG$19))*(YEARFRAC($AF$4,AF14,3)))-1)/(YEARFRAC(AE14,AF14,2))</f>
        <v>-4.8193396647061848E-3</v>
      </c>
      <c r="AK14" s="19"/>
      <c r="AR14" s="21"/>
      <c r="AU14" s="21"/>
      <c r="AW14" s="250"/>
      <c r="BB14" s="251"/>
    </row>
    <row r="15" spans="1:118" x14ac:dyDescent="0.35">
      <c r="A15" s="19"/>
      <c r="B15" s="36">
        <f>12*5</f>
        <v>60</v>
      </c>
      <c r="C15" s="133" t="s">
        <v>42</v>
      </c>
      <c r="D15" s="134">
        <v>44358</v>
      </c>
      <c r="E15" s="219">
        <v>44362</v>
      </c>
      <c r="F15" s="135">
        <f t="shared" si="0"/>
        <v>46188</v>
      </c>
      <c r="G15" s="136">
        <v>-4.5300000000000002E-3</v>
      </c>
      <c r="H15" s="145">
        <f>VLOOKUP(C15,$X$35:$Z$38,3,FALSE)</f>
        <v>-4.5461896627581469E-3</v>
      </c>
      <c r="I15" s="2"/>
      <c r="L15" s="110" t="s">
        <v>37</v>
      </c>
      <c r="M15" s="115">
        <f t="shared" si="6"/>
        <v>44358</v>
      </c>
      <c r="N15" s="116">
        <f t="shared" si="11"/>
        <v>44362</v>
      </c>
      <c r="O15" s="117">
        <f>(WORKDAY((EDATE($N$9,12))-1,1))</f>
        <v>44727</v>
      </c>
      <c r="P15" s="126">
        <f t="shared" si="7"/>
        <v>44910</v>
      </c>
      <c r="Q15" s="119">
        <f t="shared" si="8"/>
        <v>-5.2100000000000002E-3</v>
      </c>
      <c r="R15" s="263">
        <f>-1+(1+Q15*(YEARFRAC(O15,P15,2)))*EXP(-(InterpolaLineal(P15,$P$7:$P$15,$T$7:$T$15))*(YEARFRAC(N15,P15,3)))/EXP(-(InterpolaLineal(O15,$P$7:$P$15,$T$7:$T$15))*(YEARFRAC(N15,O15,3)))</f>
        <v>0</v>
      </c>
      <c r="S15" s="103">
        <f t="shared" si="9"/>
        <v>1.0079163302281822</v>
      </c>
      <c r="T15" s="125">
        <f>-LN(EXP(-InterpolaLineal(O15,$P$7:P14,$T$7:T14)*YEARFRAC(N15,O15,3))/(1+Q15*YEARFRAC(O15,P15,2)))/YEARFRAC(N15,P15,3)</f>
        <v>-5.2519773256759789E-3</v>
      </c>
      <c r="U15" s="119">
        <f>(EXP(-InterpolaLineal(O15,$P$8:$P$15,$T$8:$T$15)*YEARFRAC(N15,O15,3))/(EXP(-InterpolaLineal(P15,$P$8:$P$15,$T$8:$T$15)*YEARFRAC(N15,P15,3)))-1)/YEARFRAC(O15,P15,2)</f>
        <v>-5.2100000000000826E-3</v>
      </c>
      <c r="Z15" s="26"/>
      <c r="AA15"/>
      <c r="AD15" s="109" t="s">
        <v>40</v>
      </c>
      <c r="AE15" s="224">
        <f t="shared" si="12"/>
        <v>45275</v>
      </c>
      <c r="AF15" s="225">
        <f t="shared" si="13"/>
        <v>45460</v>
      </c>
      <c r="AG15" s="170">
        <f t="shared" si="2"/>
        <v>-5.0910378632913833E-3</v>
      </c>
      <c r="AH15" s="172">
        <f t="shared" si="3"/>
        <v>1.0154328326831106</v>
      </c>
      <c r="AI15" s="221">
        <f>(EXP(-(InterpolaLineal(AE15,$AF$4:$AF$19,$AG$4:$AG$19))*(YEARFRAC($AF$4,AE15,3)))/EXP(-(InterpolaLineal(AF15,$AF$4:$AF$19,$AG$4:$AG$19))*(YEARFRAC($AF$4,AF15,3)))-1)/(YEARFRAC(AE15,AF15,2))</f>
        <v>-4.6872230945643962E-3</v>
      </c>
      <c r="AK15" s="19"/>
      <c r="AR15" s="21"/>
      <c r="AU15" s="21"/>
      <c r="AW15" s="250"/>
      <c r="BB15" s="251"/>
    </row>
    <row r="16" spans="1:118" x14ac:dyDescent="0.35">
      <c r="A16" s="19"/>
      <c r="H16" s="2"/>
      <c r="I16" s="2"/>
      <c r="L16" s="17"/>
      <c r="M16" s="14"/>
      <c r="N16" s="14"/>
      <c r="O16" s="13"/>
      <c r="P16" s="21"/>
      <c r="Q16" s="2"/>
      <c r="R16" s="32"/>
      <c r="S16" s="2"/>
      <c r="T16" s="25"/>
      <c r="U16" s="33"/>
      <c r="Z16" s="26"/>
      <c r="AA16"/>
      <c r="AD16" s="109" t="s">
        <v>68</v>
      </c>
      <c r="AE16" s="224">
        <f t="shared" si="12"/>
        <v>45460</v>
      </c>
      <c r="AF16" s="225">
        <f t="shared" si="13"/>
        <v>45642</v>
      </c>
      <c r="AG16" s="170">
        <f t="shared" si="2"/>
        <v>-4.9721766386999419E-3</v>
      </c>
      <c r="AH16" s="172">
        <f t="shared" si="3"/>
        <v>1.0175895804766439</v>
      </c>
      <c r="AI16" s="221">
        <f>(EXP(-(InterpolaLineal(AE16,$AF$4:$AF$19,$AG$4:$AG$19))*(YEARFRAC($AF$4,AE16,3)))/EXP(-(InterpolaLineal(AF16,$AF$4:$AF$19,$AG$4:$AG$19))*(YEARFRAC($AF$4,AF16,3)))-1)/(YEARFRAC(AE16,AF16,2))</f>
        <v>-4.192352809529753E-3</v>
      </c>
      <c r="AK16" s="19"/>
      <c r="AR16" s="21"/>
      <c r="AU16" s="21"/>
      <c r="AW16" s="250"/>
      <c r="BB16" s="251"/>
    </row>
    <row r="17" spans="1:54" x14ac:dyDescent="0.35">
      <c r="A17" s="19"/>
      <c r="H17" s="2"/>
      <c r="I17" s="2"/>
      <c r="M17" s="8"/>
      <c r="N17" s="8"/>
      <c r="O17" s="8"/>
      <c r="P17" s="8"/>
      <c r="Q17" s="8"/>
      <c r="R17" s="8"/>
      <c r="S17" s="8"/>
      <c r="T17" s="25"/>
      <c r="U17" s="8"/>
      <c r="V17" s="8"/>
      <c r="W17" s="8"/>
      <c r="X17" s="8"/>
      <c r="AA17"/>
      <c r="AD17" s="108" t="s">
        <v>41</v>
      </c>
      <c r="AE17" s="224">
        <f t="shared" si="12"/>
        <v>45642</v>
      </c>
      <c r="AF17" s="225">
        <f t="shared" si="13"/>
        <v>45824</v>
      </c>
      <c r="AG17" s="170">
        <f t="shared" si="2"/>
        <v>-4.8533154141085005E-3</v>
      </c>
      <c r="AH17" s="172">
        <f t="shared" si="3"/>
        <v>1.0196300395364903</v>
      </c>
      <c r="AI17" s="221">
        <f>(EXP(-(InterpolaLineal(AE17,$AF$4:$AF$19,$AG$4:$AG$19))*(YEARFRAC($AF$4,AE17,3)))/EXP(-(InterpolaLineal(AF17,$AF$4:$AF$19,$AG$4:$AG$19))*(YEARFRAC($AF$4,AF17,3)))-1)/(YEARFRAC(AE17,AF17,2))</f>
        <v>-3.9583699078393035E-3</v>
      </c>
      <c r="AK17" s="19"/>
      <c r="AR17" s="21"/>
      <c r="AU17" s="21"/>
      <c r="AW17" s="250"/>
      <c r="BB17" s="251"/>
    </row>
    <row r="18" spans="1:54" x14ac:dyDescent="0.35">
      <c r="A18" s="19"/>
      <c r="H18" s="2"/>
      <c r="I18" s="2"/>
      <c r="N18" s="15"/>
      <c r="O18" s="13"/>
      <c r="P18" s="13"/>
      <c r="Q18" s="23"/>
      <c r="R18" s="21"/>
      <c r="S18" s="15"/>
      <c r="T18" s="25"/>
      <c r="U18" s="15"/>
      <c r="V18" s="28"/>
      <c r="W18" s="15"/>
      <c r="X18" s="15"/>
      <c r="Y18" s="15"/>
      <c r="Z18" s="15"/>
      <c r="AA18" s="15"/>
      <c r="AD18" s="109" t="s">
        <v>69</v>
      </c>
      <c r="AE18" s="224">
        <f t="shared" si="12"/>
        <v>45824</v>
      </c>
      <c r="AF18" s="225">
        <f t="shared" si="13"/>
        <v>46006</v>
      </c>
      <c r="AG18" s="170">
        <f t="shared" si="2"/>
        <v>-4.6997525384333237E-3</v>
      </c>
      <c r="AH18" s="172">
        <f t="shared" si="3"/>
        <v>1.0213938361178718</v>
      </c>
      <c r="AI18" s="221">
        <f>(EXP(-(InterpolaLineal(AE18,$AF$4:$AF$19,$AG$4:$AG$19))*(YEARFRAC($AF$4,AE18,3)))/EXP(-(InterpolaLineal(AF18,$AF$4:$AF$19,$AG$4:$AG$19))*(YEARFRAC($AF$4,AF18,3)))-1)/(YEARFRAC(AE18,AF18,2))</f>
        <v>-3.4157523565963585E-3</v>
      </c>
      <c r="AK18" s="19"/>
      <c r="AR18" s="21"/>
      <c r="AU18" s="21"/>
      <c r="BB18" s="251"/>
    </row>
    <row r="19" spans="1:54" x14ac:dyDescent="0.35">
      <c r="A19" s="19"/>
      <c r="H19" s="2"/>
      <c r="I19" s="2"/>
      <c r="N19" s="15"/>
      <c r="O19" s="13"/>
      <c r="P19" s="13"/>
      <c r="Q19" s="23"/>
      <c r="R19" s="21"/>
      <c r="S19" s="15"/>
      <c r="T19" s="15"/>
      <c r="V19" s="15"/>
      <c r="W19" s="15"/>
      <c r="X19" s="15"/>
      <c r="Y19" s="15"/>
      <c r="Z19" s="15"/>
      <c r="AA19" s="15"/>
      <c r="AD19" s="110" t="s">
        <v>42</v>
      </c>
      <c r="AE19" s="226">
        <f t="shared" si="12"/>
        <v>46006</v>
      </c>
      <c r="AF19" s="227">
        <f t="shared" si="13"/>
        <v>46188</v>
      </c>
      <c r="AG19" s="171">
        <f t="shared" si="2"/>
        <v>-4.5461896627581469E-3</v>
      </c>
      <c r="AH19" s="173">
        <f t="shared" si="3"/>
        <v>1.0230040067494366</v>
      </c>
      <c r="AI19" s="222">
        <f>(EXP(-(InterpolaLineal(AE19,$AF$4:$AF$19,$AG$4:$AG$19))*(YEARFRAC($AF$4,AE19,3)))/EXP(-(InterpolaLineal(AF19,$AF$4:$AF$19,$AG$4:$AG$19))*(YEARFRAC($AF$4,AF19,3)))-1)/(YEARFRAC(AE19,AF19,2))</f>
        <v>-3.113333747069868E-3</v>
      </c>
      <c r="AK19" s="19"/>
      <c r="AR19" s="21"/>
      <c r="AU19" s="21"/>
      <c r="BB19" s="251"/>
    </row>
    <row r="20" spans="1:54" x14ac:dyDescent="0.35">
      <c r="A20" s="19"/>
      <c r="C20" s="19"/>
      <c r="E20" s="19"/>
      <c r="G20" s="19"/>
      <c r="I20" s="19"/>
      <c r="N20" s="8"/>
      <c r="P20" s="8"/>
      <c r="R20" s="8"/>
      <c r="T20" s="8"/>
      <c r="U20"/>
      <c r="V20" s="8"/>
      <c r="X20" s="8"/>
      <c r="Z20" s="8"/>
      <c r="AA20" s="15"/>
      <c r="AK20" s="19"/>
      <c r="AR20" s="21"/>
      <c r="AU20" s="21"/>
      <c r="BB20" s="251"/>
    </row>
    <row r="21" spans="1:54" x14ac:dyDescent="0.35">
      <c r="A21" s="19"/>
      <c r="H21" s="2"/>
      <c r="I21" s="2"/>
      <c r="N21" s="15"/>
      <c r="O21" s="13"/>
      <c r="P21" s="13"/>
      <c r="Q21" s="23"/>
      <c r="R21" s="21"/>
      <c r="S21" s="15"/>
      <c r="T21" s="15"/>
      <c r="V21" s="15"/>
      <c r="W21" s="15"/>
      <c r="X21" s="15"/>
      <c r="Y21" s="15"/>
      <c r="Z21" s="15"/>
      <c r="AA21" s="15"/>
      <c r="AR21" s="21"/>
      <c r="AU21" s="21"/>
      <c r="BB21" s="251"/>
    </row>
    <row r="22" spans="1:54" x14ac:dyDescent="0.35">
      <c r="A22" s="19"/>
      <c r="H22" s="2"/>
      <c r="I22" s="2"/>
      <c r="N22" s="15"/>
      <c r="O22" s="13"/>
      <c r="P22" s="13"/>
      <c r="Q22" s="23"/>
      <c r="R22" s="21"/>
      <c r="S22" s="15"/>
      <c r="T22" s="15"/>
      <c r="V22" s="15"/>
      <c r="W22" s="15"/>
      <c r="X22" s="15"/>
      <c r="Y22" s="15"/>
      <c r="Z22" s="15"/>
      <c r="AA22" s="15"/>
      <c r="AR22" s="21"/>
      <c r="AU22" s="21"/>
      <c r="BB22" s="251"/>
    </row>
    <row r="23" spans="1:54" x14ac:dyDescent="0.35">
      <c r="A23" s="19"/>
      <c r="H23" s="2"/>
      <c r="I23" s="2"/>
      <c r="N23" s="15"/>
      <c r="O23" s="13"/>
      <c r="P23" s="13"/>
      <c r="Q23" s="23"/>
      <c r="R23" s="21"/>
      <c r="S23" s="15"/>
      <c r="T23" s="15"/>
      <c r="V23" s="15"/>
      <c r="AA23"/>
      <c r="AR23" s="21"/>
      <c r="AU23" s="21"/>
      <c r="BB23" s="251"/>
    </row>
    <row r="24" spans="1:54" x14ac:dyDescent="0.35">
      <c r="A24" s="19"/>
      <c r="I24" s="2"/>
      <c r="N24" s="15"/>
      <c r="O24" s="13"/>
      <c r="P24" s="13"/>
      <c r="Q24" s="23"/>
      <c r="R24" s="21"/>
      <c r="S24" s="15"/>
      <c r="T24" s="15"/>
      <c r="V24" s="15"/>
      <c r="W24" s="15"/>
      <c r="X24" s="15"/>
      <c r="Y24" s="15"/>
      <c r="Z24" s="15"/>
      <c r="AA24" s="15"/>
      <c r="AR24" s="21"/>
      <c r="AU24" s="21"/>
      <c r="BB24" s="251"/>
    </row>
    <row r="25" spans="1:54" x14ac:dyDescent="0.35">
      <c r="A25" s="19"/>
      <c r="H25" s="2"/>
      <c r="I25" s="2"/>
      <c r="O25" s="13"/>
      <c r="P25" s="13"/>
      <c r="Q25" s="23"/>
      <c r="R25" s="21"/>
      <c r="S25" s="15"/>
      <c r="T25" s="29"/>
      <c r="V25" s="15"/>
      <c r="W25" s="15"/>
      <c r="X25" s="15"/>
      <c r="Y25" s="15"/>
      <c r="Z25" s="15"/>
      <c r="AA25" s="15"/>
      <c r="AR25" s="21"/>
      <c r="AU25" s="21"/>
      <c r="BB25" s="251"/>
    </row>
    <row r="26" spans="1:54" x14ac:dyDescent="0.35">
      <c r="A26" s="19"/>
      <c r="H26" s="2"/>
      <c r="I26" s="2"/>
      <c r="N26" s="8"/>
      <c r="O26" s="8"/>
      <c r="P26" s="8"/>
      <c r="Q26" s="8"/>
      <c r="R26" s="8"/>
      <c r="S26" s="8"/>
      <c r="T26" s="8"/>
      <c r="AA26"/>
      <c r="AR26" s="21"/>
      <c r="AU26" s="21"/>
      <c r="BB26" s="251"/>
    </row>
    <row r="27" spans="1:54" x14ac:dyDescent="0.35">
      <c r="A27" s="19"/>
      <c r="H27" s="2"/>
      <c r="I27" s="2"/>
      <c r="N27" s="8"/>
      <c r="O27" s="8"/>
      <c r="P27" s="8"/>
      <c r="Q27" s="8"/>
      <c r="R27" s="8"/>
      <c r="S27" s="8"/>
      <c r="T27" s="8"/>
      <c r="V27" s="19"/>
      <c r="AA27"/>
      <c r="AR27" s="21"/>
      <c r="AU27" s="21"/>
      <c r="BB27" s="251"/>
    </row>
    <row r="28" spans="1:54" x14ac:dyDescent="0.35">
      <c r="A28" s="19"/>
      <c r="H28" s="2"/>
      <c r="I28" s="2"/>
      <c r="L28" t="s">
        <v>45</v>
      </c>
      <c r="N28" s="30" t="s">
        <v>46</v>
      </c>
      <c r="O28" s="8"/>
      <c r="P28" s="8"/>
      <c r="Q28" s="8"/>
      <c r="R28" s="8"/>
      <c r="S28" s="8"/>
      <c r="T28" s="8"/>
      <c r="AA28"/>
      <c r="AR28" s="21"/>
      <c r="AU28" s="21"/>
      <c r="BB28" s="251"/>
    </row>
    <row r="29" spans="1:54" x14ac:dyDescent="0.35">
      <c r="A29" s="19"/>
      <c r="H29" s="2"/>
      <c r="N29" s="8"/>
      <c r="O29" s="8"/>
      <c r="P29" s="8"/>
      <c r="Q29" s="8"/>
      <c r="R29" s="8"/>
      <c r="S29" s="8"/>
      <c r="T29" s="8"/>
      <c r="AA29"/>
      <c r="AR29" s="21"/>
      <c r="AU29" s="21"/>
      <c r="BB29" s="251"/>
    </row>
    <row r="30" spans="1:54" ht="15.75" customHeight="1" thickBot="1" x14ac:dyDescent="0.4">
      <c r="A30" s="19"/>
      <c r="L30" s="91" t="s">
        <v>0</v>
      </c>
      <c r="M30" s="91" t="s">
        <v>1</v>
      </c>
      <c r="N30" s="92" t="s">
        <v>2</v>
      </c>
      <c r="O30" s="90" t="s">
        <v>21</v>
      </c>
      <c r="P30" s="90" t="s">
        <v>47</v>
      </c>
      <c r="Q30" s="91" t="s">
        <v>22</v>
      </c>
      <c r="R30" s="90" t="s">
        <v>48</v>
      </c>
      <c r="S30" s="90" t="s">
        <v>49</v>
      </c>
      <c r="T30" s="93" t="s">
        <v>50</v>
      </c>
      <c r="U30" s="93" t="s">
        <v>27</v>
      </c>
      <c r="V30" s="93" t="s">
        <v>28</v>
      </c>
      <c r="W30" s="93" t="s">
        <v>29</v>
      </c>
      <c r="X30" s="93" t="s">
        <v>0</v>
      </c>
      <c r="Y30" s="93" t="s">
        <v>21</v>
      </c>
      <c r="Z30" s="93" t="s">
        <v>61</v>
      </c>
      <c r="AA30"/>
      <c r="AR30" s="21"/>
      <c r="AU30" s="21"/>
      <c r="BB30" s="251"/>
    </row>
    <row r="31" spans="1:54" ht="23.5" x14ac:dyDescent="0.55000000000000004">
      <c r="A31" s="37"/>
      <c r="B31" s="140" t="s">
        <v>64</v>
      </c>
      <c r="C31" s="38"/>
      <c r="D31" s="37"/>
      <c r="E31" s="38"/>
      <c r="F31" s="38"/>
      <c r="G31" s="37"/>
      <c r="H31" s="38"/>
      <c r="I31" s="38"/>
      <c r="L31" s="94"/>
      <c r="M31" s="95"/>
      <c r="N31" s="19"/>
      <c r="O31" s="159"/>
      <c r="P31" s="19"/>
      <c r="Q31" s="19"/>
      <c r="R31" s="19"/>
      <c r="S31" s="19"/>
      <c r="T31" s="97"/>
      <c r="U31" s="187">
        <f>SUM($T$32:T41)</f>
        <v>-2.3077633247225771E-2</v>
      </c>
      <c r="V31" s="12">
        <f>SUM($S$33:S41)</f>
        <v>-2.3077633242080939E-2</v>
      </c>
      <c r="W31" s="165">
        <f>(U31-V31)*100000000</f>
        <v>-5.1448324767111586E-4</v>
      </c>
      <c r="X31" s="95"/>
      <c r="Y31" s="167">
        <f>P7</f>
        <v>44362</v>
      </c>
      <c r="Z31" s="195">
        <f>InterpolaLineal(Y31,$P$7:$P$15,$T$7:$T$15)</f>
        <v>-5.1572172521559137E-3</v>
      </c>
      <c r="AA31" s="19"/>
      <c r="AR31" s="21"/>
      <c r="AU31" s="21"/>
      <c r="BB31" s="251"/>
    </row>
    <row r="32" spans="1:54" x14ac:dyDescent="0.35">
      <c r="A32" s="19"/>
      <c r="K32" s="36">
        <v>6</v>
      </c>
      <c r="L32" s="108" t="s">
        <v>20</v>
      </c>
      <c r="M32" s="82">
        <f>D4</f>
        <v>44358</v>
      </c>
      <c r="N32" s="14">
        <f>E4</f>
        <v>44362</v>
      </c>
      <c r="O32" s="121">
        <f t="shared" ref="O32:O41" si="14">WORKDAY((EDATE($N$32,K32))-1,1)</f>
        <v>44545</v>
      </c>
      <c r="P32" s="11"/>
      <c r="Q32" s="11">
        <f t="shared" ref="Q32:Q41" si="15">(YEARFRAC(N32,O32,2))</f>
        <v>0.5083333333333333</v>
      </c>
      <c r="R32" s="22">
        <f>EXP(-(InterpolaLineal(O32,ESTER!$E$4:$E$27,ESTER!$I$4:$I$27))*(YEARFRAC(M32,O32,3)))</f>
        <v>1.002797570144945</v>
      </c>
      <c r="S32" s="19"/>
      <c r="T32" s="256">
        <f>R32*((EXP(-InterpolaLineal(N32, $Y$31:Y35, $Z$31:Z35)*YEARFRAC($N$32, N32, 3))/EXP(-InterpolaLineal(O32, $Y$31:Y35, $Z$31:Z35)*YEARFRAC($N$32, O32, 3))-1)/YEARFRAC(N32, O32, 2))*Q32</f>
        <v>-2.5895575919709828E-3</v>
      </c>
      <c r="U32" s="19"/>
      <c r="V32" s="19"/>
      <c r="W32" s="166"/>
      <c r="X32" s="108" t="s">
        <v>20</v>
      </c>
      <c r="Y32" s="14">
        <f>P8</f>
        <v>44545</v>
      </c>
      <c r="Z32" s="196">
        <f>InterpolaLineal(Y32,$P$7:$P$15,$T$7:$T$15)</f>
        <v>-5.1572172521559137E-3</v>
      </c>
      <c r="AA32" s="19"/>
      <c r="AR32" s="21"/>
      <c r="AU32" s="21"/>
      <c r="BB32" s="251"/>
    </row>
    <row r="33" spans="1:30" x14ac:dyDescent="0.35">
      <c r="A33" s="19"/>
      <c r="K33" s="36">
        <v>12</v>
      </c>
      <c r="L33" s="108" t="s">
        <v>35</v>
      </c>
      <c r="M33" s="82">
        <f t="shared" ref="M33:M41" si="16">$M$32</f>
        <v>44358</v>
      </c>
      <c r="N33" s="14">
        <f t="shared" ref="N33:N41" si="17">O32</f>
        <v>44545</v>
      </c>
      <c r="O33" s="121">
        <f t="shared" si="14"/>
        <v>44727</v>
      </c>
      <c r="P33" s="11">
        <f>(YEARFRAC(N32,O33,4))</f>
        <v>1</v>
      </c>
      <c r="Q33" s="11">
        <f t="shared" si="15"/>
        <v>0.50555555555555554</v>
      </c>
      <c r="R33" s="22">
        <f>EXP(-(InterpolaLineal(O33,ESTER!$E$4:$E$27,ESTER!$I$4:$I$27))*(YEARFRAC(M33,O33,3)))</f>
        <v>1.0058074400652679</v>
      </c>
      <c r="S33" s="27">
        <f>R33*InterpolaLineal(O41, $F$4:$F$15, $G$4:$G$15)*P33</f>
        <v>-4.5563077034956635E-3</v>
      </c>
      <c r="T33" s="256">
        <f>R33*((EXP(-InterpolaLineal(N33, $Y$31:Y35, $Z$31:Z35)*YEARFRAC($N$32, N33, 3))/EXP(-InterpolaLineal(O33, $Y$31:Y35, $Z$31:Z35)*YEARFRAC($N$32, O33, 3))-1)/YEARFRAC(N33, O33, 2))*Q33</f>
        <v>-2.6594107497235962E-3</v>
      </c>
      <c r="U33" s="19"/>
      <c r="V33" s="19"/>
      <c r="W33" s="166"/>
      <c r="X33" s="108" t="s">
        <v>35</v>
      </c>
      <c r="Y33" s="14">
        <f>P14</f>
        <v>44727</v>
      </c>
      <c r="Z33" s="196">
        <f>InterpolaLineal(Y33,$P$7:$P$15,$T$7:$T$15)</f>
        <v>-5.2332305514927856E-3</v>
      </c>
      <c r="AA33" s="19"/>
    </row>
    <row r="34" spans="1:30" x14ac:dyDescent="0.35">
      <c r="A34" s="19"/>
      <c r="B34" s="156"/>
      <c r="K34" s="36">
        <f t="shared" ref="K34:K41" si="18">K33+6</f>
        <v>18</v>
      </c>
      <c r="L34" s="109"/>
      <c r="M34" s="82">
        <f t="shared" si="16"/>
        <v>44358</v>
      </c>
      <c r="N34" s="14">
        <f t="shared" si="17"/>
        <v>44727</v>
      </c>
      <c r="O34" s="121">
        <f t="shared" si="14"/>
        <v>44910</v>
      </c>
      <c r="P34" s="11"/>
      <c r="Q34" s="11">
        <f t="shared" si="15"/>
        <v>0.5083333333333333</v>
      </c>
      <c r="R34" s="22">
        <f>EXP(-(InterpolaLineal(O34,ESTER!$E$4:$E$27,ESTER!$I$4:$I$27))*(YEARFRAC(M34,O34,3)))</f>
        <v>1.009190140047685</v>
      </c>
      <c r="S34" s="4"/>
      <c r="T34" s="256">
        <f>R34*((EXP(-InterpolaLineal(N34, $Y$31:Y36, $Z$31:Z36)*YEARFRAC($N$32, N34, 3))/EXP(-InterpolaLineal(O34, $Y$31:Y36, $Z$31:Z36)*YEARFRAC($N$32, O34, 3))-1)/YEARFRAC(N34, O34, 2))*Q34</f>
        <v>-2.6727559867379984E-3</v>
      </c>
      <c r="U34" s="19"/>
      <c r="V34" s="19"/>
      <c r="W34" s="166"/>
      <c r="X34" s="109" t="s">
        <v>37</v>
      </c>
      <c r="Y34" s="14">
        <f>P15</f>
        <v>44910</v>
      </c>
      <c r="Z34" s="197">
        <f>InterpolaLineal(Y34,$P$7:$P$15,$T$7:$T$15)</f>
        <v>-5.2519773256759789E-3</v>
      </c>
      <c r="AA34" s="19"/>
    </row>
    <row r="35" spans="1:30" x14ac:dyDescent="0.35">
      <c r="A35" s="19"/>
      <c r="K35" s="36">
        <f t="shared" si="18"/>
        <v>24</v>
      </c>
      <c r="L35" s="109" t="s">
        <v>39</v>
      </c>
      <c r="M35" s="82">
        <f t="shared" si="16"/>
        <v>44358</v>
      </c>
      <c r="N35" s="14">
        <f t="shared" si="17"/>
        <v>44910</v>
      </c>
      <c r="O35" s="121">
        <f t="shared" si="14"/>
        <v>45092</v>
      </c>
      <c r="P35" s="11">
        <f>(YEARFRAC(N34,O35,4))</f>
        <v>1</v>
      </c>
      <c r="Q35" s="11">
        <f t="shared" si="15"/>
        <v>0.50555555555555554</v>
      </c>
      <c r="R35" s="22">
        <f>EXP(-(InterpolaLineal(O35,ESTER!$E$4:$E$27,ESTER!$I$4:$I$27))*(YEARFRAC(M35,O35,3)))</f>
        <v>1.0126599770237255</v>
      </c>
      <c r="S35" s="143">
        <f>R35*InterpolaLineal(O41, $F$4:$F$15, $G$4:$G$15)*P35</f>
        <v>-4.5873496959174765E-3</v>
      </c>
      <c r="T35" s="257">
        <f>R35*((EXP(-InterpolaLineal(N35, $Y$31:Y36, $Z$31:Z36)*YEARFRAC($N$32, N35, 3))/EXP(-InterpolaLineal(O35, $Y$31:Y36, $Z$31:Z36)*YEARFRAC($N$32, O35, 3))-1)/YEARFRAC(N35, O35, 2))*Q35</f>
        <v>-2.5944909166212031E-3</v>
      </c>
      <c r="U35" s="19"/>
      <c r="V35" s="19"/>
      <c r="W35" s="166"/>
      <c r="X35" s="108" t="s">
        <v>39</v>
      </c>
      <c r="Y35" s="14">
        <f>F12</f>
        <v>45092</v>
      </c>
      <c r="Z35" s="198">
        <v>-5.2252517565995176E-3</v>
      </c>
      <c r="AA35" s="19"/>
    </row>
    <row r="36" spans="1:30" x14ac:dyDescent="0.35">
      <c r="A36" s="19"/>
      <c r="K36" s="36">
        <f t="shared" si="18"/>
        <v>30</v>
      </c>
      <c r="L36" s="108"/>
      <c r="M36" s="82">
        <f t="shared" si="16"/>
        <v>44358</v>
      </c>
      <c r="N36" s="14">
        <f t="shared" si="17"/>
        <v>45092</v>
      </c>
      <c r="O36" s="121">
        <f t="shared" si="14"/>
        <v>45275</v>
      </c>
      <c r="P36" s="11"/>
      <c r="Q36" s="11">
        <f t="shared" si="15"/>
        <v>0.5083333333333333</v>
      </c>
      <c r="R36" s="22">
        <f>EXP(-(InterpolaLineal(O36,ESTER!$E$4:$E$27,ESTER!$I$4:$I$27))*(YEARFRAC(M36,O36,3)))</f>
        <v>1.0158551683848143</v>
      </c>
      <c r="S36" s="143"/>
      <c r="T36" s="257">
        <f>R36*((EXP(-InterpolaLineal(N36, $Y$31:Y37, $Z$31:Z37)*YEARFRAC($N$32, N36, 3))/EXP(-InterpolaLineal(O36, $Y$31:Y37, $Z$31:Z37)*YEARFRAC($N$32, O36, 3))-1)/YEARFRAC(N36, O36, 2))*Q36</f>
        <v>-2.4886734791851389E-3</v>
      </c>
      <c r="U36" s="19"/>
      <c r="V36" s="19"/>
      <c r="W36" s="166"/>
      <c r="X36" s="108" t="s">
        <v>40</v>
      </c>
      <c r="Y36" s="14">
        <f>F13</f>
        <v>45460</v>
      </c>
      <c r="Z36" s="198">
        <v>-5.0910378632913833E-3</v>
      </c>
      <c r="AA36" s="19"/>
    </row>
    <row r="37" spans="1:30" x14ac:dyDescent="0.35">
      <c r="A37" s="19"/>
      <c r="B37" s="157"/>
      <c r="K37" s="36">
        <f t="shared" si="18"/>
        <v>36</v>
      </c>
      <c r="L37" s="109" t="s">
        <v>40</v>
      </c>
      <c r="M37" s="82">
        <f t="shared" si="16"/>
        <v>44358</v>
      </c>
      <c r="N37" s="14">
        <f t="shared" si="17"/>
        <v>45275</v>
      </c>
      <c r="O37" s="121">
        <f t="shared" si="14"/>
        <v>45460</v>
      </c>
      <c r="P37" s="11">
        <f>(YEARFRAC(N36,O37,4))</f>
        <v>1.0055555555555555</v>
      </c>
      <c r="Q37" s="11">
        <f t="shared" si="15"/>
        <v>0.51388888888888884</v>
      </c>
      <c r="R37" s="22">
        <f>EXP(-(InterpolaLineal(O37,ESTER!$E$4:$E$27,ESTER!$I$4:$I$27))*(YEARFRAC(M37,O37,3)))</f>
        <v>1.0191012003753461</v>
      </c>
      <c r="S37" s="143">
        <f>R37*InterpolaLineal(O41, $F$4:$F$15, $G$4:$G$15)*P37</f>
        <v>-4.6421758179097635E-3</v>
      </c>
      <c r="T37" s="257">
        <f>R37*((EXP(-InterpolaLineal(N37, $Y$31:Y37, $Z$31:Z37)*YEARFRAC($N$32, N37, 3))/EXP(-InterpolaLineal(O37, $Y$31:Y37, $Z$31:Z37)*YEARFRAC($N$32, O37, 3))-1)/YEARFRAC(N37, O37, 2))*Q37</f>
        <v>-2.454721156077944E-3</v>
      </c>
      <c r="U37" s="19"/>
      <c r="V37" s="19"/>
      <c r="W37" s="166"/>
      <c r="X37" s="108" t="s">
        <v>41</v>
      </c>
      <c r="Y37" s="14">
        <f>F14</f>
        <v>45824</v>
      </c>
      <c r="Z37" s="198">
        <v>-4.8533154141085005E-3</v>
      </c>
      <c r="AA37" s="19"/>
    </row>
    <row r="38" spans="1:30" x14ac:dyDescent="0.35">
      <c r="A38" s="19"/>
      <c r="K38" s="36">
        <f t="shared" si="18"/>
        <v>42</v>
      </c>
      <c r="L38" s="109"/>
      <c r="M38" s="82">
        <f t="shared" si="16"/>
        <v>44358</v>
      </c>
      <c r="N38" s="14">
        <f t="shared" si="17"/>
        <v>45460</v>
      </c>
      <c r="O38" s="121">
        <f t="shared" si="14"/>
        <v>45642</v>
      </c>
      <c r="P38" s="11"/>
      <c r="Q38" s="11">
        <f t="shared" si="15"/>
        <v>0.50555555555555554</v>
      </c>
      <c r="R38" s="22">
        <f>EXP(-(InterpolaLineal(O38,ESTER!$E$4:$E$27,ESTER!$I$4:$I$27))*(YEARFRAC(M38,O38,3)))</f>
        <v>1.0222189847997796</v>
      </c>
      <c r="S38" s="143"/>
      <c r="T38" s="257">
        <f>R38*((EXP(-InterpolaLineal(N38, $Y$31:Y38, $Z$31:Z38)*YEARFRAC($N$32, N38, 3))/EXP(-InterpolaLineal(O38, $Y$31:Y38, $Z$31:Z38)*YEARFRAC($N$32, O38, 3))-1)/YEARFRAC(N38, O38, 2))*Q38</f>
        <v>-2.1665596644004485E-3</v>
      </c>
      <c r="U38" s="19"/>
      <c r="V38" s="19"/>
      <c r="W38" s="166"/>
      <c r="X38" s="110" t="s">
        <v>42</v>
      </c>
      <c r="Y38" s="116">
        <f>F15</f>
        <v>46188</v>
      </c>
      <c r="Z38" s="199">
        <v>-4.5461896627581469E-3</v>
      </c>
      <c r="AA38" s="19"/>
    </row>
    <row r="39" spans="1:30" x14ac:dyDescent="0.35">
      <c r="A39" s="19"/>
      <c r="K39" s="36">
        <f t="shared" si="18"/>
        <v>48</v>
      </c>
      <c r="L39" s="108" t="s">
        <v>41</v>
      </c>
      <c r="M39" s="82">
        <f t="shared" si="16"/>
        <v>44358</v>
      </c>
      <c r="N39" s="14">
        <f t="shared" si="17"/>
        <v>45642</v>
      </c>
      <c r="O39" s="121">
        <f t="shared" si="14"/>
        <v>45824</v>
      </c>
      <c r="P39" s="11">
        <f>(YEARFRAC(N38,O39,4))</f>
        <v>0.99722222222222223</v>
      </c>
      <c r="Q39" s="11">
        <f t="shared" si="15"/>
        <v>0.50555555555555554</v>
      </c>
      <c r="R39" s="22">
        <f>EXP(-(InterpolaLineal(O39,ESTER!$E$4:$E$27,ESTER!$I$4:$I$27))*(YEARFRAC(M39,O39,3)))</f>
        <v>1.0253258974435262</v>
      </c>
      <c r="S39" s="143">
        <f>R39*InterpolaLineal(O41, $F$4:$F$15, $G$4:$G$15)*P39</f>
        <v>-4.6318242978763422E-3</v>
      </c>
      <c r="T39" s="257">
        <f>R39*((EXP(-InterpolaLineal(N39, $Y$31:Y38, $Z$31:Z38)*YEARFRAC($N$32, N39, 3))/EXP(-InterpolaLineal(O39, $Y$31:Y38, $Z$31:Z38)*YEARFRAC($N$32, O39, 3))-1)/YEARFRAC(N39, O39, 2))*Q39</f>
        <v>-2.0518574734075508E-3</v>
      </c>
      <c r="U39" s="19"/>
      <c r="V39" s="19"/>
      <c r="W39" s="19"/>
      <c r="X39" s="19"/>
      <c r="Y39" s="19"/>
      <c r="Z39" s="19"/>
      <c r="AA39" s="19"/>
    </row>
    <row r="40" spans="1:30" x14ac:dyDescent="0.35">
      <c r="A40" s="19"/>
      <c r="K40" s="36">
        <f t="shared" si="18"/>
        <v>54</v>
      </c>
      <c r="L40" s="109"/>
      <c r="M40" s="82">
        <f t="shared" si="16"/>
        <v>44358</v>
      </c>
      <c r="N40" s="14">
        <f t="shared" si="17"/>
        <v>45824</v>
      </c>
      <c r="O40" s="121">
        <f t="shared" si="14"/>
        <v>46006</v>
      </c>
      <c r="P40" s="11"/>
      <c r="Q40" s="11">
        <f t="shared" si="15"/>
        <v>0.50555555555555554</v>
      </c>
      <c r="R40" s="22">
        <f>EXP(-(InterpolaLineal(O40,ESTER!$E$4:$E$27,ESTER!$I$4:$I$27))*(YEARFRAC(M40,O40,3)))</f>
        <v>1.028444753311947</v>
      </c>
      <c r="S40" s="143"/>
      <c r="T40" s="257">
        <f>R40*((EXP(-InterpolaLineal(N40, $Y$31:Y38, $Z$31:Z38)*YEARFRAC($N$32, N40, 3))/EXP(-InterpolaLineal(O40, $Y$31:Y38, $Z$31:Z38)*YEARFRAC($N$32, O40, 3))-1)/YEARFRAC(N40, O40, 2))*Q40</f>
        <v>-1.775972475931413E-3</v>
      </c>
      <c r="U40" s="19"/>
      <c r="V40" s="19"/>
      <c r="W40" s="19"/>
      <c r="X40" s="19"/>
      <c r="Y40" s="19"/>
      <c r="Z40" s="19"/>
      <c r="AA40" s="19"/>
    </row>
    <row r="41" spans="1:30" x14ac:dyDescent="0.35">
      <c r="A41" s="19"/>
      <c r="K41" s="36">
        <f t="shared" si="18"/>
        <v>60</v>
      </c>
      <c r="L41" s="110" t="s">
        <v>42</v>
      </c>
      <c r="M41" s="99">
        <f t="shared" si="16"/>
        <v>44358</v>
      </c>
      <c r="N41" s="158">
        <f t="shared" si="17"/>
        <v>46006</v>
      </c>
      <c r="O41" s="101">
        <f t="shared" si="14"/>
        <v>46188</v>
      </c>
      <c r="P41" s="160">
        <f>(YEARFRAC(N40,O41,4))</f>
        <v>0.99722222222222223</v>
      </c>
      <c r="Q41" s="161">
        <f t="shared" si="15"/>
        <v>0.50555555555555554</v>
      </c>
      <c r="R41" s="162">
        <f>EXP(-(InterpolaLineal(O41,ESTER!$E$4:$E$27,ESTER!$I$4:$I$27))*(YEARFRAC(M41,O41,3)))</f>
        <v>1.0315576513601126</v>
      </c>
      <c r="S41" s="163">
        <f>R41*InterpolaLineal(O41, $F$4:$F$15, $G$4:$G$15)*P41</f>
        <v>-4.6599757268816957E-3</v>
      </c>
      <c r="T41" s="258">
        <f>R41*((EXP(-InterpolaLineal(N41, $Y$31:Y38, $Z$31:Z38)*YEARFRAC($N$32, N41, 3))/EXP(-InterpolaLineal(O41, $Y$31:Y38, $Z$31:Z38)*YEARFRAC($N$32, O41, 3))-1)/YEARFRAC(N41, O41, 2))*Q41</f>
        <v>-1.6236337531694944E-3</v>
      </c>
      <c r="U41" s="19"/>
      <c r="V41" s="19"/>
      <c r="W41" s="19"/>
      <c r="X41" s="19"/>
      <c r="Y41" s="19"/>
      <c r="Z41" s="19"/>
      <c r="AA41" s="19"/>
    </row>
    <row r="42" spans="1:30" x14ac:dyDescent="0.35">
      <c r="A42" s="19"/>
      <c r="B42" s="132"/>
      <c r="L42" s="142"/>
      <c r="M42" s="21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</row>
    <row r="43" spans="1:30" x14ac:dyDescent="0.35">
      <c r="L43" s="142"/>
      <c r="M43" s="21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</row>
    <row r="44" spans="1:30" x14ac:dyDescent="0.35">
      <c r="L44" s="142"/>
      <c r="M44" s="21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</row>
    <row r="45" spans="1:30" x14ac:dyDescent="0.35">
      <c r="L45" s="142"/>
      <c r="M45" s="21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</row>
    <row r="46" spans="1:30" x14ac:dyDescent="0.35">
      <c r="L46" s="142"/>
      <c r="M46" s="21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C46" s="4"/>
      <c r="AD46" s="4"/>
    </row>
    <row r="47" spans="1:30" x14ac:dyDescent="0.35">
      <c r="L47" s="142"/>
      <c r="M47" s="21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C47" s="4"/>
      <c r="AD47" s="4"/>
    </row>
    <row r="48" spans="1:30" x14ac:dyDescent="0.35">
      <c r="L48" s="142"/>
      <c r="M48" s="21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C48" s="4"/>
      <c r="AD48" s="4"/>
    </row>
    <row r="49" spans="12:30" x14ac:dyDescent="0.35">
      <c r="L49" s="142"/>
      <c r="M49" s="21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C49" s="4"/>
      <c r="AD49" s="4"/>
    </row>
    <row r="50" spans="12:30" x14ac:dyDescent="0.35">
      <c r="L50" s="142"/>
      <c r="M50" s="21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C50" s="4"/>
      <c r="AD50" s="4"/>
    </row>
    <row r="51" spans="12:30" x14ac:dyDescent="0.35">
      <c r="L51" s="142"/>
      <c r="M51" s="21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C51" s="4"/>
      <c r="AD51" s="4"/>
    </row>
    <row r="52" spans="12:30" x14ac:dyDescent="0.35">
      <c r="L52" s="142"/>
      <c r="M52" s="21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C52" s="4"/>
      <c r="AD52" s="4"/>
    </row>
    <row r="53" spans="12:30" x14ac:dyDescent="0.35">
      <c r="L53" s="142"/>
      <c r="M53" s="21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C53" s="4"/>
      <c r="AD53" s="4"/>
    </row>
    <row r="54" spans="12:30" x14ac:dyDescent="0.35">
      <c r="L54" s="142"/>
      <c r="M54" s="21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C54" s="4"/>
      <c r="AD54" s="4"/>
    </row>
    <row r="55" spans="12:30" x14ac:dyDescent="0.35">
      <c r="L55" s="142"/>
      <c r="M55" s="21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C55" s="4"/>
      <c r="AD55" s="4"/>
    </row>
    <row r="56" spans="12:30" x14ac:dyDescent="0.35">
      <c r="L56" s="142"/>
      <c r="M56" s="21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C56" s="4"/>
      <c r="AD56" s="4"/>
    </row>
    <row r="57" spans="12:30" x14ac:dyDescent="0.35">
      <c r="L57" s="142"/>
      <c r="M57" s="21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C57" s="4"/>
      <c r="AD57" s="4"/>
    </row>
    <row r="58" spans="12:30" x14ac:dyDescent="0.35">
      <c r="L58" s="142"/>
      <c r="M58" s="21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C58" s="4"/>
      <c r="AD58" s="4"/>
    </row>
    <row r="59" spans="12:30" x14ac:dyDescent="0.35">
      <c r="L59" s="142"/>
      <c r="M59" s="21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C59" s="4"/>
      <c r="AD59" s="4"/>
    </row>
    <row r="60" spans="12:30" x14ac:dyDescent="0.35">
      <c r="L60" s="142"/>
      <c r="M60" s="21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C60" s="4"/>
      <c r="AD60" s="4"/>
    </row>
    <row r="61" spans="12:30" x14ac:dyDescent="0.35">
      <c r="L61" s="142"/>
      <c r="M61" s="21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C61" s="4"/>
      <c r="AD61" s="4"/>
    </row>
    <row r="62" spans="12:30" x14ac:dyDescent="0.35">
      <c r="L62" s="142"/>
      <c r="M62" s="21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C62" s="4"/>
      <c r="AD62" s="4"/>
    </row>
    <row r="63" spans="12:30" x14ac:dyDescent="0.35">
      <c r="L63" s="142"/>
      <c r="M63" s="21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C63" s="4"/>
      <c r="AD63" s="4"/>
    </row>
    <row r="64" spans="12:30" x14ac:dyDescent="0.35">
      <c r="L64" s="142"/>
      <c r="M64" s="21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C64" s="4"/>
      <c r="AD64" s="4"/>
    </row>
    <row r="65" spans="12:30" x14ac:dyDescent="0.35">
      <c r="L65" s="142"/>
      <c r="M65" s="21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C65" s="4"/>
      <c r="AD65" s="4"/>
    </row>
    <row r="66" spans="12:30" x14ac:dyDescent="0.35">
      <c r="L66" s="142"/>
      <c r="M66" s="21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C66" s="4"/>
      <c r="AD66" s="4"/>
    </row>
    <row r="67" spans="12:30" x14ac:dyDescent="0.35">
      <c r="L67" s="142"/>
      <c r="M67" s="21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C67" s="4"/>
      <c r="AD67" s="4"/>
    </row>
    <row r="68" spans="12:30" x14ac:dyDescent="0.35">
      <c r="L68" s="142"/>
      <c r="M68" s="21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C68" s="4"/>
      <c r="AD68" s="4"/>
    </row>
    <row r="69" spans="12:30" x14ac:dyDescent="0.35">
      <c r="L69" s="142"/>
      <c r="M69" s="21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C69" s="4"/>
      <c r="AD69" s="4"/>
    </row>
    <row r="70" spans="12:30" x14ac:dyDescent="0.35">
      <c r="L70" s="142"/>
      <c r="M70" s="21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C70" s="4"/>
      <c r="AD70" s="4"/>
    </row>
    <row r="71" spans="12:30" x14ac:dyDescent="0.35">
      <c r="L71" s="142"/>
      <c r="M71" s="21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C71" s="4"/>
      <c r="AD71" s="4"/>
    </row>
    <row r="72" spans="12:30" x14ac:dyDescent="0.35">
      <c r="L72" s="142"/>
      <c r="M72" s="21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C72" s="4"/>
      <c r="AD72" s="4"/>
    </row>
    <row r="73" spans="12:30" x14ac:dyDescent="0.35">
      <c r="L73" s="142"/>
      <c r="M73" s="21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C73" s="4"/>
      <c r="AD73" s="4"/>
    </row>
    <row r="74" spans="12:30" x14ac:dyDescent="0.35">
      <c r="L74" s="142"/>
      <c r="M74" s="21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C74" s="4"/>
      <c r="AD74" s="4"/>
    </row>
    <row r="75" spans="12:30" x14ac:dyDescent="0.35">
      <c r="L75" s="142"/>
      <c r="M75" s="21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C75" s="4"/>
      <c r="AD75" s="4"/>
    </row>
    <row r="76" spans="12:30" x14ac:dyDescent="0.35">
      <c r="L76" s="142"/>
      <c r="M76" s="21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C76" s="4"/>
      <c r="AD76" s="4"/>
    </row>
    <row r="77" spans="12:30" x14ac:dyDescent="0.35">
      <c r="L77" s="142"/>
      <c r="M77" s="21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C77" s="4"/>
      <c r="AD77" s="4"/>
    </row>
    <row r="78" spans="12:30" x14ac:dyDescent="0.35">
      <c r="L78" s="142"/>
      <c r="M78" s="21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C78" s="4"/>
      <c r="AD78" s="4"/>
    </row>
    <row r="79" spans="12:30" x14ac:dyDescent="0.35">
      <c r="L79" s="142"/>
      <c r="M79" s="21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C79" s="4"/>
      <c r="AD79" s="4"/>
    </row>
    <row r="80" spans="12:30" x14ac:dyDescent="0.35">
      <c r="L80" s="142"/>
      <c r="M80" s="21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C80" s="4"/>
      <c r="AD80" s="4"/>
    </row>
    <row r="81" spans="12:30" x14ac:dyDescent="0.35">
      <c r="L81" s="142"/>
      <c r="M81" s="21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C81" s="4"/>
      <c r="AD81" s="4"/>
    </row>
    <row r="82" spans="12:30" x14ac:dyDescent="0.35">
      <c r="L82" s="142"/>
      <c r="M82" s="21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C82" s="4"/>
      <c r="AD82" s="4"/>
    </row>
    <row r="83" spans="12:30" x14ac:dyDescent="0.35">
      <c r="L83" s="142"/>
      <c r="M83" s="21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C83" s="4"/>
      <c r="AD83" s="4"/>
    </row>
    <row r="84" spans="12:30" x14ac:dyDescent="0.35">
      <c r="L84" s="142"/>
      <c r="M84" s="21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C84" s="4"/>
      <c r="AD84" s="4"/>
    </row>
    <row r="85" spans="12:30" x14ac:dyDescent="0.35">
      <c r="L85" s="142"/>
      <c r="M85" s="21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C85" s="4"/>
      <c r="AD85" s="4"/>
    </row>
    <row r="86" spans="12:30" x14ac:dyDescent="0.35">
      <c r="L86" s="142"/>
      <c r="M86" s="21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C86" s="4"/>
      <c r="AD86" s="4"/>
    </row>
    <row r="87" spans="12:30" x14ac:dyDescent="0.35">
      <c r="L87" s="142"/>
      <c r="M87" s="21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C87" s="4"/>
      <c r="AD87" s="4"/>
    </row>
    <row r="88" spans="12:30" x14ac:dyDescent="0.35">
      <c r="L88" s="142"/>
      <c r="M88" s="21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C88" s="4"/>
      <c r="AD88" s="4"/>
    </row>
    <row r="89" spans="12:30" x14ac:dyDescent="0.35">
      <c r="L89" s="142"/>
      <c r="M89" s="21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C89" s="4"/>
      <c r="AD89" s="4"/>
    </row>
    <row r="90" spans="12:30" x14ac:dyDescent="0.35">
      <c r="L90" s="142"/>
      <c r="M90" s="21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C90" s="4"/>
      <c r="AD90" s="4"/>
    </row>
    <row r="91" spans="12:30" x14ac:dyDescent="0.35">
      <c r="L91" s="142"/>
      <c r="M91" s="21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C91" s="4"/>
      <c r="AD91" s="4"/>
    </row>
    <row r="92" spans="12:30" x14ac:dyDescent="0.35">
      <c r="L92" s="142"/>
      <c r="M92" s="21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C92" s="4"/>
      <c r="AD92" s="4"/>
    </row>
    <row r="93" spans="12:30" x14ac:dyDescent="0.35">
      <c r="L93" s="142"/>
      <c r="M93" s="21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C93" s="4"/>
      <c r="AD93" s="4"/>
    </row>
    <row r="94" spans="12:30" x14ac:dyDescent="0.35">
      <c r="L94" s="142"/>
      <c r="M94" s="21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C94" s="4"/>
      <c r="AD94" s="4"/>
    </row>
    <row r="95" spans="12:30" x14ac:dyDescent="0.35">
      <c r="L95" s="142"/>
      <c r="M95" s="21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C95" s="4"/>
      <c r="AD95" s="4"/>
    </row>
    <row r="96" spans="12:30" x14ac:dyDescent="0.35">
      <c r="L96" s="142"/>
      <c r="M96" s="21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C96" s="4"/>
      <c r="AD96" s="4"/>
    </row>
    <row r="97" spans="12:30" x14ac:dyDescent="0.35">
      <c r="L97" s="142"/>
      <c r="M97" s="21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C97" s="4"/>
      <c r="AD97" s="4"/>
    </row>
    <row r="98" spans="12:30" x14ac:dyDescent="0.35">
      <c r="L98" s="142"/>
      <c r="M98" s="21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C98" s="4"/>
      <c r="AD98" s="4"/>
    </row>
    <row r="99" spans="12:30" x14ac:dyDescent="0.35">
      <c r="L99" s="142"/>
      <c r="M99" s="21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C99" s="4"/>
      <c r="AD99" s="4"/>
    </row>
    <row r="100" spans="12:30" x14ac:dyDescent="0.35">
      <c r="L100" s="142"/>
      <c r="M100" s="21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C100" s="4"/>
      <c r="AD100" s="4"/>
    </row>
    <row r="101" spans="12:30" x14ac:dyDescent="0.35">
      <c r="L101" s="142"/>
      <c r="M101" s="21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C101" s="4"/>
      <c r="AD101" s="4"/>
    </row>
    <row r="102" spans="12:30" x14ac:dyDescent="0.35">
      <c r="L102" s="142"/>
      <c r="M102" s="21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C102" s="4"/>
      <c r="AD102" s="4"/>
    </row>
    <row r="103" spans="12:30" x14ac:dyDescent="0.35">
      <c r="L103" s="142"/>
      <c r="M103" s="21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C103" s="4"/>
      <c r="AD103" s="4"/>
    </row>
    <row r="104" spans="12:30" x14ac:dyDescent="0.35">
      <c r="L104" s="142"/>
      <c r="M104" s="21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C104" s="4"/>
      <c r="AD104" s="4"/>
    </row>
    <row r="105" spans="12:30" x14ac:dyDescent="0.35">
      <c r="L105" s="142"/>
      <c r="M105" s="21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C105" s="4"/>
      <c r="AD105" s="4"/>
    </row>
    <row r="106" spans="12:30" x14ac:dyDescent="0.35">
      <c r="L106" s="142"/>
      <c r="M106" s="21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C106" s="4"/>
      <c r="AD106" s="4"/>
    </row>
    <row r="107" spans="12:30" x14ac:dyDescent="0.35">
      <c r="L107" s="142"/>
      <c r="M107" s="21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C107" s="4"/>
      <c r="AD107" s="4"/>
    </row>
    <row r="108" spans="12:30" x14ac:dyDescent="0.35">
      <c r="L108" s="142"/>
      <c r="M108" s="21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C108" s="4"/>
      <c r="AD108" s="4"/>
    </row>
    <row r="109" spans="12:30" x14ac:dyDescent="0.35">
      <c r="L109" s="142"/>
      <c r="M109" s="21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C109" s="4"/>
      <c r="AD109" s="4"/>
    </row>
    <row r="110" spans="12:30" x14ac:dyDescent="0.35">
      <c r="L110" s="142"/>
      <c r="M110" s="21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C110" s="4"/>
      <c r="AD110" s="4"/>
    </row>
    <row r="111" spans="12:30" x14ac:dyDescent="0.35">
      <c r="L111" s="142"/>
      <c r="M111" s="21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C111" s="4"/>
      <c r="AD111" s="4"/>
    </row>
    <row r="112" spans="12:30" x14ac:dyDescent="0.35">
      <c r="L112" s="142"/>
      <c r="M112" s="21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C112" s="4"/>
      <c r="AD112" s="4"/>
    </row>
    <row r="113" spans="12:30" x14ac:dyDescent="0.35">
      <c r="L113" s="142"/>
      <c r="M113" s="21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C113" s="4"/>
      <c r="AD113" s="4"/>
    </row>
    <row r="114" spans="12:30" x14ac:dyDescent="0.35">
      <c r="L114" s="142"/>
      <c r="M114" s="21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C114" s="4"/>
      <c r="AD114" s="4"/>
    </row>
    <row r="115" spans="12:30" x14ac:dyDescent="0.35">
      <c r="L115" s="142"/>
      <c r="M115" s="21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C115" s="4"/>
      <c r="AD115" s="4"/>
    </row>
    <row r="116" spans="12:30" x14ac:dyDescent="0.35">
      <c r="L116" s="142"/>
      <c r="M116" s="21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C116" s="4"/>
      <c r="AD116" s="4"/>
    </row>
    <row r="117" spans="12:30" x14ac:dyDescent="0.35">
      <c r="L117" s="142"/>
      <c r="M117" s="21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C117" s="4"/>
      <c r="AD117" s="4"/>
    </row>
    <row r="118" spans="12:30" x14ac:dyDescent="0.35">
      <c r="L118" s="142"/>
      <c r="M118" s="21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C118" s="4"/>
      <c r="AD118" s="4"/>
    </row>
    <row r="119" spans="12:30" x14ac:dyDescent="0.35">
      <c r="L119" s="142"/>
      <c r="M119" s="21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C119" s="4"/>
      <c r="AD119" s="4"/>
    </row>
    <row r="120" spans="12:30" x14ac:dyDescent="0.35">
      <c r="L120" s="142"/>
      <c r="M120" s="21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C120" s="4"/>
      <c r="AD120" s="4"/>
    </row>
    <row r="121" spans="12:30" x14ac:dyDescent="0.35">
      <c r="L121" s="142"/>
      <c r="M121" s="21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C121" s="4"/>
      <c r="AD121" s="4"/>
    </row>
    <row r="122" spans="12:30" x14ac:dyDescent="0.35">
      <c r="L122" s="142"/>
      <c r="M122" s="21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C122" s="4"/>
      <c r="AD122" s="4"/>
    </row>
    <row r="123" spans="12:30" x14ac:dyDescent="0.35">
      <c r="L123" s="142"/>
      <c r="M123" s="21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C123" s="4"/>
      <c r="AD123" s="4"/>
    </row>
    <row r="124" spans="12:30" x14ac:dyDescent="0.35">
      <c r="L124" s="142"/>
      <c r="M124" s="21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C124" s="4"/>
      <c r="AD124" s="4"/>
    </row>
    <row r="125" spans="12:30" x14ac:dyDescent="0.35">
      <c r="L125" s="142"/>
      <c r="M125" s="21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C125" s="4"/>
      <c r="AD125" s="4"/>
    </row>
    <row r="126" spans="12:30" x14ac:dyDescent="0.35">
      <c r="L126" s="142"/>
      <c r="M126" s="21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C126" s="4"/>
      <c r="AD126" s="4"/>
    </row>
    <row r="127" spans="12:30" x14ac:dyDescent="0.35">
      <c r="L127" s="142"/>
      <c r="M127" s="21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C127" s="4"/>
      <c r="AD127" s="4"/>
    </row>
    <row r="128" spans="12:30" x14ac:dyDescent="0.35">
      <c r="L128" s="142"/>
      <c r="M128" s="21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C128" s="4"/>
      <c r="AD128" s="4"/>
    </row>
    <row r="129" spans="12:30" x14ac:dyDescent="0.35">
      <c r="L129" s="142"/>
      <c r="M129" s="21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C129" s="4"/>
      <c r="AD129" s="4"/>
    </row>
    <row r="130" spans="12:30" x14ac:dyDescent="0.35">
      <c r="L130" s="142"/>
      <c r="M130" s="21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C130" s="4"/>
      <c r="AD130" s="4"/>
    </row>
    <row r="131" spans="12:30" x14ac:dyDescent="0.35">
      <c r="L131" s="142"/>
      <c r="M131" s="21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C131" s="4"/>
      <c r="AD131" s="4"/>
    </row>
    <row r="132" spans="12:30" x14ac:dyDescent="0.35">
      <c r="L132" s="142"/>
      <c r="M132" s="21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C132" s="4"/>
      <c r="AD132" s="4"/>
    </row>
    <row r="133" spans="12:30" x14ac:dyDescent="0.35">
      <c r="L133" s="142"/>
      <c r="M133" s="21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C133" s="4"/>
      <c r="AD133" s="4"/>
    </row>
    <row r="134" spans="12:30" x14ac:dyDescent="0.35">
      <c r="L134" s="142"/>
      <c r="M134" s="21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C134" s="4"/>
      <c r="AD134" s="4"/>
    </row>
    <row r="135" spans="12:30" x14ac:dyDescent="0.35">
      <c r="L135" s="142"/>
      <c r="M135" s="21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C135" s="4"/>
      <c r="AD135" s="4"/>
    </row>
    <row r="136" spans="12:30" x14ac:dyDescent="0.35">
      <c r="L136" s="142"/>
      <c r="M136" s="21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C136" s="4"/>
      <c r="AD136" s="4"/>
    </row>
    <row r="137" spans="12:30" x14ac:dyDescent="0.35">
      <c r="L137" s="142"/>
      <c r="M137" s="21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C137" s="4"/>
      <c r="AD137" s="4"/>
    </row>
    <row r="138" spans="12:30" x14ac:dyDescent="0.35">
      <c r="L138" s="142"/>
      <c r="M138" s="21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C138" s="4"/>
      <c r="AD138" s="4"/>
    </row>
    <row r="139" spans="12:30" x14ac:dyDescent="0.35">
      <c r="L139" s="142"/>
      <c r="M139" s="21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C139" s="4"/>
      <c r="AD139" s="4"/>
    </row>
    <row r="140" spans="12:30" x14ac:dyDescent="0.35">
      <c r="L140" s="142"/>
      <c r="M140" s="21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C140" s="4"/>
      <c r="AD140" s="4"/>
    </row>
    <row r="141" spans="12:30" x14ac:dyDescent="0.35">
      <c r="L141" s="142"/>
      <c r="M141" s="21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C141" s="4"/>
      <c r="AD141" s="4"/>
    </row>
    <row r="142" spans="12:30" x14ac:dyDescent="0.35">
      <c r="L142" s="142"/>
      <c r="M142" s="21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C142" s="4"/>
      <c r="AD142" s="4"/>
    </row>
    <row r="143" spans="12:30" x14ac:dyDescent="0.35">
      <c r="L143" s="142"/>
      <c r="M143" s="21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C143" s="4"/>
      <c r="AD143" s="4"/>
    </row>
    <row r="144" spans="12:30" x14ac:dyDescent="0.35">
      <c r="L144" s="142"/>
      <c r="M144" s="21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C144" s="4"/>
      <c r="AD144" s="4"/>
    </row>
    <row r="145" spans="12:30" x14ac:dyDescent="0.35">
      <c r="L145" s="142"/>
      <c r="M145" s="21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C145" s="4"/>
      <c r="AD145" s="4"/>
    </row>
    <row r="146" spans="12:30" x14ac:dyDescent="0.35">
      <c r="L146" s="142"/>
      <c r="M146" s="21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C146" s="4"/>
      <c r="AD146" s="4"/>
    </row>
  </sheetData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oja3.CURVA_6M">
                <anchor moveWithCells="1" sizeWithCells="1">
                  <from>
                    <xdr:col>10</xdr:col>
                    <xdr:colOff>787400</xdr:colOff>
                    <xdr:row>1</xdr:row>
                    <xdr:rowOff>63500</xdr:rowOff>
                  </from>
                  <to>
                    <xdr:col>12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oja3.Reset_6M">
                <anchor moveWithCells="1" sizeWithCells="1">
                  <from>
                    <xdr:col>13</xdr:col>
                    <xdr:colOff>355600</xdr:colOff>
                    <xdr:row>1</xdr:row>
                    <xdr:rowOff>50800</xdr:rowOff>
                  </from>
                  <to>
                    <xdr:col>14</xdr:col>
                    <xdr:colOff>641350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21"/>
  <sheetViews>
    <sheetView showGridLines="0" workbookViewId="0">
      <selection activeCell="I12" sqref="I12"/>
    </sheetView>
  </sheetViews>
  <sheetFormatPr defaultRowHeight="14.5" x14ac:dyDescent="0.35"/>
  <cols>
    <col min="1" max="1" width="11.54296875" customWidth="1"/>
    <col min="2" max="2" width="13.90625" customWidth="1"/>
    <col min="3" max="3" width="12.453125" customWidth="1"/>
    <col min="4" max="256" width="11.54296875" customWidth="1"/>
  </cols>
  <sheetData>
    <row r="1" spans="1:27" ht="23.5" x14ac:dyDescent="0.55000000000000004">
      <c r="A1" s="38"/>
      <c r="B1" s="41" t="s">
        <v>70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</row>
    <row r="2" spans="1:27" x14ac:dyDescent="0.35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</row>
    <row r="3" spans="1:27" x14ac:dyDescent="0.35">
      <c r="B3" s="19"/>
    </row>
    <row r="4" spans="1:27" ht="21" x14ac:dyDescent="0.5">
      <c r="B4" s="186" t="s">
        <v>71</v>
      </c>
    </row>
    <row r="7" spans="1:27" x14ac:dyDescent="0.35">
      <c r="A7" s="2"/>
      <c r="G7" s="177"/>
      <c r="H7" s="177"/>
    </row>
    <row r="8" spans="1:27" x14ac:dyDescent="0.35">
      <c r="A8" s="83"/>
      <c r="B8" s="193" t="s">
        <v>72</v>
      </c>
      <c r="C8" s="194">
        <f>'Euribor 6M'!G15</f>
        <v>-4.5300000000000002E-3</v>
      </c>
      <c r="F8" s="104"/>
      <c r="G8" s="193" t="s">
        <v>29</v>
      </c>
      <c r="H8" s="192">
        <f>G10-H10</f>
        <v>5.1448290072642067E-12</v>
      </c>
    </row>
    <row r="9" spans="1:27" ht="15" thickBot="1" x14ac:dyDescent="0.4">
      <c r="A9" s="83"/>
      <c r="B9" s="92" t="s">
        <v>2</v>
      </c>
      <c r="C9" s="90" t="s">
        <v>21</v>
      </c>
      <c r="D9" s="91" t="s">
        <v>47</v>
      </c>
      <c r="E9" s="91" t="s">
        <v>22</v>
      </c>
      <c r="F9" s="90" t="s">
        <v>51</v>
      </c>
      <c r="G9" s="93" t="s">
        <v>27</v>
      </c>
      <c r="H9" s="93" t="s">
        <v>28</v>
      </c>
      <c r="I9" s="90" t="s">
        <v>52</v>
      </c>
      <c r="J9" s="90" t="s">
        <v>53</v>
      </c>
      <c r="K9" s="184"/>
    </row>
    <row r="10" spans="1:27" x14ac:dyDescent="0.35">
      <c r="A10" s="83"/>
      <c r="C10" s="121"/>
      <c r="E10" s="97"/>
      <c r="F10" s="185"/>
      <c r="G10" s="174">
        <f>SUM(G12:G21)</f>
        <v>-2.3077633242080939E-2</v>
      </c>
      <c r="H10" s="191">
        <f>SUM(H12:H21)</f>
        <v>-2.3077633247225768E-2</v>
      </c>
      <c r="I10" s="95"/>
      <c r="J10" s="97"/>
    </row>
    <row r="11" spans="1:27" x14ac:dyDescent="0.35">
      <c r="A11" s="83"/>
      <c r="B11" s="21">
        <f>'Euribor 6M'!O7</f>
        <v>44358</v>
      </c>
      <c r="C11" s="121">
        <f>'Euribor 6M'!P7</f>
        <v>44362</v>
      </c>
      <c r="E11" s="83"/>
      <c r="F11" s="80"/>
      <c r="I11" s="80"/>
      <c r="J11" s="80"/>
    </row>
    <row r="12" spans="1:27" x14ac:dyDescent="0.35">
      <c r="A12" s="83"/>
      <c r="B12" s="21">
        <f>'Euribor 6M'!N32</f>
        <v>44362</v>
      </c>
      <c r="C12" s="121">
        <f>'Euribor 6M'!O32</f>
        <v>44545</v>
      </c>
      <c r="D12" s="168"/>
      <c r="E12" s="180">
        <f t="shared" ref="E12:E21" si="0">(YEARFRAC(B12,C12,2))</f>
        <v>0.5083333333333333</v>
      </c>
      <c r="F12" s="182">
        <f>EXP(-(InterpolaLineal(C12,ESTER!$E$4:$E$27,ESTER!$I$4:$I$27))*(YEARFRAC(Validación!$B$11,Validación!C12,3)))</f>
        <v>1.002797570144945</v>
      </c>
      <c r="H12" s="164">
        <f>(EXP(-(InterpolaLineal(B12,'Euribor 6M'!$F$4:$F$15,'Euribor 6M'!$H$4:$H$15))*(YEARFRAC($C$11,B12,3)))/EXP(-(InterpolaLineal(C12,'Euribor 6M'!$F$4:$F$15,'Euribor 6M'!$H$4:$H$15))*(YEARFRAC($C$11,C12,3)))-1)/(YEARFRAC(B12,C12,2))*E12*F12</f>
        <v>-2.5895575919709828E-3</v>
      </c>
      <c r="I12" s="189">
        <f>(EXP(-(InterpolaLineal(B12,'Euribor 6M'!$F$4:$F$15,'Euribor 6M'!$H$4:$H$15))*(YEARFRAC($C$11,B12,3)))/EXP(-(InterpolaLineal(C12,'Euribor 6M'!$F$4:$F$15,'Euribor 6M'!$H$4:$H$15))*(YEARFRAC($C$11,C12,3)))-1)/(YEARFRAC(B12,C12,2))</f>
        <v>-5.0800000000000393E-3</v>
      </c>
      <c r="J12" s="175" t="s">
        <v>54</v>
      </c>
    </row>
    <row r="13" spans="1:27" x14ac:dyDescent="0.35">
      <c r="A13" s="83"/>
      <c r="B13" s="21">
        <f>'Euribor 6M'!N33</f>
        <v>44545</v>
      </c>
      <c r="C13" s="121">
        <f>'Euribor 6M'!O33</f>
        <v>44727</v>
      </c>
      <c r="D13" s="168">
        <f>(YEARFRAC(B12,C13,4))</f>
        <v>1</v>
      </c>
      <c r="E13" s="180">
        <f t="shared" si="0"/>
        <v>0.50555555555555554</v>
      </c>
      <c r="F13" s="182">
        <f>EXP(-(InterpolaLineal(C13,ESTER!$E$4:$E$27,ESTER!$I$4:$I$27))*(YEARFRAC(Validación!$B$11,Validación!C13,3)))</f>
        <v>1.0058074400652679</v>
      </c>
      <c r="G13">
        <f>$C$8*F13*D13</f>
        <v>-4.5563077034956635E-3</v>
      </c>
      <c r="H13" s="164">
        <f>(EXP(-(InterpolaLineal(B13,'Euribor 6M'!$F$4:$F$15,'Euribor 6M'!$H$4:$H$15))*(YEARFRAC($C$11,B13,3)))/EXP(-(InterpolaLineal(C13,'Euribor 6M'!$F$4:$F$15,'Euribor 6M'!$H$4:$H$15))*(YEARFRAC($C$11,C13,3)))-1)/(YEARFRAC(B13,C13,2))*E13*F13</f>
        <v>-2.6594107497235962E-3</v>
      </c>
      <c r="I13" s="189">
        <f>(EXP(-(InterpolaLineal(B13,'Euribor 6M'!$F$4:$F$15,'Euribor 6M'!$H$4:$H$15))*(YEARFRAC($C$11,B13,3)))/EXP(-(InterpolaLineal(C13,'Euribor 6M'!$F$4:$F$15,'Euribor 6M'!$H$4:$H$15))*(YEARFRAC($C$11,C13,3)))-1)/(YEARFRAC(B13,C13,2))</f>
        <v>-5.2299999999998294E-3</v>
      </c>
      <c r="J13" s="175" t="s">
        <v>55</v>
      </c>
    </row>
    <row r="14" spans="1:27" x14ac:dyDescent="0.35">
      <c r="A14" s="83"/>
      <c r="B14" s="21">
        <f>'Euribor 6M'!N34</f>
        <v>44727</v>
      </c>
      <c r="C14" s="121">
        <f>'Euribor 6M'!O34</f>
        <v>44910</v>
      </c>
      <c r="D14" s="168"/>
      <c r="E14" s="180">
        <f t="shared" si="0"/>
        <v>0.5083333333333333</v>
      </c>
      <c r="F14" s="182">
        <f>EXP(-(InterpolaLineal(C14,ESTER!$E$4:$E$27,ESTER!$I$4:$I$27))*(YEARFRAC(Validación!$B$11,Validación!C14,3)))</f>
        <v>1.009190140047685</v>
      </c>
      <c r="H14" s="164">
        <f>(EXP(-(InterpolaLineal(B14,'Euribor 6M'!$F$4:$F$15,'Euribor 6M'!$H$4:$H$15))*(YEARFRAC($C$11,B14,3)))/EXP(-(InterpolaLineal(C14,'Euribor 6M'!$F$4:$F$15,'Euribor 6M'!$H$4:$H$15))*(YEARFRAC($C$11,C14,3)))-1)/(YEARFRAC(B14,C14,2))*E14*F14</f>
        <v>-2.6727559867379988E-3</v>
      </c>
      <c r="I14" s="189">
        <f>(EXP(-(InterpolaLineal(B14,'Euribor 6M'!$F$4:$F$15,'Euribor 6M'!$H$4:$H$15))*(YEARFRAC($C$11,B14,3)))/EXP(-(InterpolaLineal(C14,'Euribor 6M'!$F$4:$F$15,'Euribor 6M'!$H$4:$H$15))*(YEARFRAC($C$11,C14,3)))-1)/(YEARFRAC(B14,C14,2))</f>
        <v>-5.2100000000000826E-3</v>
      </c>
      <c r="J14" s="175" t="s">
        <v>56</v>
      </c>
    </row>
    <row r="15" spans="1:27" x14ac:dyDescent="0.35">
      <c r="A15" s="83"/>
      <c r="B15" s="21">
        <f>'Euribor 6M'!N35</f>
        <v>44910</v>
      </c>
      <c r="C15" s="121">
        <f>'Euribor 6M'!O35</f>
        <v>45092</v>
      </c>
      <c r="D15" s="168">
        <f>(YEARFRAC(B14,C15,4))</f>
        <v>1</v>
      </c>
      <c r="E15" s="180">
        <f t="shared" si="0"/>
        <v>0.50555555555555554</v>
      </c>
      <c r="F15" s="182">
        <f>EXP(-(InterpolaLineal(C15,ESTER!$E$4:$E$27,ESTER!$I$4:$I$27))*(YEARFRAC(Validación!$B$11,Validación!C15,3)))</f>
        <v>1.0126599770237255</v>
      </c>
      <c r="G15">
        <f>$C$8*F15*D15</f>
        <v>-4.5873496959174765E-3</v>
      </c>
      <c r="H15" s="164">
        <f>(EXP(-(InterpolaLineal(B15,'Euribor 6M'!$F$4:$F$15,'Euribor 6M'!$H$4:$H$15))*(YEARFRAC($C$11,B15,3)))/EXP(-(InterpolaLineal(C15,'Euribor 6M'!$F$4:$F$15,'Euribor 6M'!$H$4:$H$15))*(YEARFRAC($C$11,C15,3)))-1)/(YEARFRAC(B15,C15,2))*E15*F15</f>
        <v>-2.5944909166212031E-3</v>
      </c>
      <c r="I15" s="189">
        <f>(EXP(-(InterpolaLineal(B15,'Euribor 6M'!$F$4:$F$15,'Euribor 6M'!$H$4:$H$15))*(YEARFRAC($C$11,B15,3)))/EXP(-(InterpolaLineal(C15,'Euribor 6M'!$F$4:$F$15,'Euribor 6M'!$H$4:$H$15))*(YEARFRAC($C$11,C15,3)))-1)/(YEARFRAC(B15,C15,2))</f>
        <v>-5.0678018005000025E-3</v>
      </c>
      <c r="J15" s="175" t="s">
        <v>57</v>
      </c>
    </row>
    <row r="16" spans="1:27" x14ac:dyDescent="0.35">
      <c r="A16" s="83"/>
      <c r="B16" s="21">
        <f>'Euribor 6M'!N36</f>
        <v>45092</v>
      </c>
      <c r="C16" s="121">
        <f>'Euribor 6M'!O36</f>
        <v>45275</v>
      </c>
      <c r="D16" s="168"/>
      <c r="E16" s="180">
        <f t="shared" si="0"/>
        <v>0.5083333333333333</v>
      </c>
      <c r="F16" s="182">
        <f>EXP(-(InterpolaLineal(C16,ESTER!$E$4:$E$27,ESTER!$I$4:$I$27))*(YEARFRAC(Validación!$B$11,Validación!C16,3)))</f>
        <v>1.0158551683848143</v>
      </c>
      <c r="H16" s="164">
        <f>(EXP(-(InterpolaLineal(B16,'Euribor 6M'!$F$4:$F$15,'Euribor 6M'!$H$4:$H$15))*(YEARFRAC($C$11,B16,3)))/EXP(-(InterpolaLineal(C16,'Euribor 6M'!$F$4:$F$15,'Euribor 6M'!$H$4:$H$15))*(YEARFRAC($C$11,C16,3)))-1)/(YEARFRAC(B16,C16,2))*E16*F16</f>
        <v>-2.4886734791851385E-3</v>
      </c>
      <c r="I16" s="189">
        <f>(EXP(-(InterpolaLineal(B16,'Euribor 6M'!$F$4:$F$15,'Euribor 6M'!$H$4:$H$15))*(YEARFRAC($C$11,B16,3)))/EXP(-(InterpolaLineal(C16,'Euribor 6M'!$F$4:$F$15,'Euribor 6M'!$H$4:$H$15))*(YEARFRAC($C$11,C16,3)))-1)/(YEARFRAC(B16,C16,2))</f>
        <v>-4.8193396647061848E-3</v>
      </c>
      <c r="J16" s="176"/>
    </row>
    <row r="17" spans="1:10" x14ac:dyDescent="0.35">
      <c r="A17" s="83"/>
      <c r="B17" s="21">
        <f>'Euribor 6M'!N37</f>
        <v>45275</v>
      </c>
      <c r="C17" s="121">
        <f>'Euribor 6M'!O37</f>
        <v>45460</v>
      </c>
      <c r="D17" s="168">
        <f>(YEARFRAC(B16,C17,4))</f>
        <v>1.0055555555555555</v>
      </c>
      <c r="E17" s="180">
        <f t="shared" si="0"/>
        <v>0.51388888888888884</v>
      </c>
      <c r="F17" s="182">
        <f>EXP(-(InterpolaLineal(C17,ESTER!$E$4:$E$27,ESTER!$I$4:$I$27))*(YEARFRAC(Validación!$B$11,Validación!C17,3)))</f>
        <v>1.0191012003753461</v>
      </c>
      <c r="G17">
        <f>$C$8*F17*D17</f>
        <v>-4.6421758179097635E-3</v>
      </c>
      <c r="H17" s="164">
        <f>(EXP(-(InterpolaLineal(B17,'Euribor 6M'!$F$4:$F$15,'Euribor 6M'!$H$4:$H$15))*(YEARFRAC($C$11,B17,3)))/EXP(-(InterpolaLineal(C17,'Euribor 6M'!$F$4:$F$15,'Euribor 6M'!$H$4:$H$15))*(YEARFRAC($C$11,C17,3)))-1)/(YEARFRAC(B17,C17,2))*E17*F17</f>
        <v>-2.4547211560779435E-3</v>
      </c>
      <c r="I17" s="189">
        <f>(EXP(-(InterpolaLineal(B17,'Euribor 6M'!$F$4:$F$15,'Euribor 6M'!$H$4:$H$15))*(YEARFRAC($C$11,B17,3)))/EXP(-(InterpolaLineal(C17,'Euribor 6M'!$F$4:$F$15,'Euribor 6M'!$H$4:$H$15))*(YEARFRAC($C$11,C17,3)))-1)/(YEARFRAC(B17,C17,2))</f>
        <v>-4.6872230945643962E-3</v>
      </c>
      <c r="J17" s="175" t="s">
        <v>58</v>
      </c>
    </row>
    <row r="18" spans="1:10" x14ac:dyDescent="0.35">
      <c r="A18" s="83"/>
      <c r="B18" s="21">
        <f>'Euribor 6M'!N38</f>
        <v>45460</v>
      </c>
      <c r="C18" s="121">
        <f>'Euribor 6M'!O38</f>
        <v>45642</v>
      </c>
      <c r="D18" s="168"/>
      <c r="E18" s="180">
        <f t="shared" si="0"/>
        <v>0.50555555555555554</v>
      </c>
      <c r="F18" s="182">
        <f>EXP(-(InterpolaLineal(C18,ESTER!$E$4:$E$27,ESTER!$I$4:$I$27))*(YEARFRAC(Validación!$B$11,Validación!C18,3)))</f>
        <v>1.0222189847997796</v>
      </c>
      <c r="H18" s="164">
        <f>(EXP(-(InterpolaLineal(B18,'Euribor 6M'!$F$4:$F$15,'Euribor 6M'!$H$4:$H$15))*(YEARFRAC($C$11,B18,3)))/EXP(-(InterpolaLineal(C18,'Euribor 6M'!$F$4:$F$15,'Euribor 6M'!$H$4:$H$15))*(YEARFRAC($C$11,C18,3)))-1)/(YEARFRAC(B18,C18,2))*E18*F18</f>
        <v>-2.166559664400448E-3</v>
      </c>
      <c r="I18" s="189">
        <f>(EXP(-(InterpolaLineal(B18,'Euribor 6M'!$F$4:$F$15,'Euribor 6M'!$H$4:$H$15))*(YEARFRAC($C$11,B18,3)))/EXP(-(InterpolaLineal(C18,'Euribor 6M'!$F$4:$F$15,'Euribor 6M'!$H$4:$H$15))*(YEARFRAC($C$11,C18,3)))-1)/(YEARFRAC(B18,C18,2))</f>
        <v>-4.192352809529753E-3</v>
      </c>
      <c r="J18" s="83"/>
    </row>
    <row r="19" spans="1:10" x14ac:dyDescent="0.35">
      <c r="A19" s="83"/>
      <c r="B19" s="21">
        <f>'Euribor 6M'!N39</f>
        <v>45642</v>
      </c>
      <c r="C19" s="121">
        <f>'Euribor 6M'!O39</f>
        <v>45824</v>
      </c>
      <c r="D19" s="168">
        <f>(YEARFRAC(B18,C19,4))</f>
        <v>0.99722222222222223</v>
      </c>
      <c r="E19" s="180">
        <f t="shared" si="0"/>
        <v>0.50555555555555554</v>
      </c>
      <c r="F19" s="182">
        <f>EXP(-(InterpolaLineal(C19,ESTER!$E$4:$E$27,ESTER!$I$4:$I$27))*(YEARFRAC(Validación!$B$11,Validación!C19,3)))</f>
        <v>1.0253258974435262</v>
      </c>
      <c r="G19">
        <f>$C$8*F19*D19</f>
        <v>-4.6318242978763422E-3</v>
      </c>
      <c r="H19" s="164">
        <f>(EXP(-(InterpolaLineal(B19,'Euribor 6M'!$F$4:$F$15,'Euribor 6M'!$H$4:$H$15))*(YEARFRAC($C$11,B19,3)))/EXP(-(InterpolaLineal(C19,'Euribor 6M'!$F$4:$F$15,'Euribor 6M'!$H$4:$H$15))*(YEARFRAC($C$11,C19,3)))-1)/(YEARFRAC(B19,C19,2))*E19*F19</f>
        <v>-2.0518574734075508E-3</v>
      </c>
      <c r="I19" s="189">
        <f>(EXP(-(InterpolaLineal(B19,'Euribor 6M'!$F$4:$F$15,'Euribor 6M'!$H$4:$H$15))*(YEARFRAC($C$11,B19,3)))/EXP(-(InterpolaLineal(C19,'Euribor 6M'!$F$4:$F$15,'Euribor 6M'!$H$4:$H$15))*(YEARFRAC($C$11,C19,3)))-1)/(YEARFRAC(B19,C19,2))</f>
        <v>-3.9583699078393035E-3</v>
      </c>
      <c r="J19" s="175" t="s">
        <v>59</v>
      </c>
    </row>
    <row r="20" spans="1:10" x14ac:dyDescent="0.35">
      <c r="A20" s="83"/>
      <c r="B20" s="21">
        <f>'Euribor 6M'!N40</f>
        <v>45824</v>
      </c>
      <c r="C20" s="121">
        <f>'Euribor 6M'!O40</f>
        <v>46006</v>
      </c>
      <c r="D20" s="168"/>
      <c r="E20" s="180">
        <f t="shared" si="0"/>
        <v>0.50555555555555554</v>
      </c>
      <c r="F20" s="182">
        <f>EXP(-(InterpolaLineal(C20,ESTER!$E$4:$E$27,ESTER!$I$4:$I$27))*(YEARFRAC(Validación!$B$11,Validación!C20,3)))</f>
        <v>1.028444753311947</v>
      </c>
      <c r="H20" s="164">
        <f>(EXP(-(InterpolaLineal(B20,'Euribor 6M'!$F$4:$F$15,'Euribor 6M'!$H$4:$H$15))*(YEARFRAC($C$11,B20,3)))/EXP(-(InterpolaLineal(C20,'Euribor 6M'!$F$4:$F$15,'Euribor 6M'!$H$4:$H$15))*(YEARFRAC($C$11,C20,3)))-1)/(YEARFRAC(B20,C20,2))*E20*F20</f>
        <v>-1.775972475931413E-3</v>
      </c>
      <c r="I20" s="189">
        <f>(EXP(-(InterpolaLineal(B20,'Euribor 6M'!$F$4:$F$15,'Euribor 6M'!$H$4:$H$15))*(YEARFRAC($C$11,B20,3)))/EXP(-(InterpolaLineal(C20,'Euribor 6M'!$F$4:$F$15,'Euribor 6M'!$H$4:$H$15))*(YEARFRAC($C$11,C20,3)))-1)/(YEARFRAC(B20,C20,2))</f>
        <v>-3.4157523565963585E-3</v>
      </c>
      <c r="J20" s="83"/>
    </row>
    <row r="21" spans="1:10" x14ac:dyDescent="0.35">
      <c r="A21" s="83"/>
      <c r="B21" s="116">
        <f>'Euribor 6M'!N41</f>
        <v>46006</v>
      </c>
      <c r="C21" s="126">
        <f>'Euribor 6M'!O41</f>
        <v>46188</v>
      </c>
      <c r="D21" s="179">
        <f>YEARFRAC(B20,C21,4)</f>
        <v>0.99722222222222223</v>
      </c>
      <c r="E21" s="181">
        <f t="shared" si="0"/>
        <v>0.50555555555555554</v>
      </c>
      <c r="F21" s="183">
        <f>EXP(-(InterpolaLineal(C21,ESTER!$E$4:$E$27,ESTER!$I$4:$I$27))*(YEARFRAC(Validación!$B$11,Validación!C21,3)))</f>
        <v>1.0315576513601126</v>
      </c>
      <c r="G21" s="177">
        <f>$C$8*F21*D21</f>
        <v>-4.6599757268816957E-3</v>
      </c>
      <c r="H21" s="188">
        <f>(EXP(-(InterpolaLineal(B21,'Euribor 6M'!$F$4:$F$15,'Euribor 6M'!$H$4:$H$15))*(YEARFRAC($C$11,B21,3)))/EXP(-(InterpolaLineal(C21,'Euribor 6M'!$F$4:$F$15,'Euribor 6M'!$H$4:$H$15))*(YEARFRAC($C$11,C21,3)))-1)/(YEARFRAC(B21,C21,2))*E21*F21</f>
        <v>-1.6236337531694944E-3</v>
      </c>
      <c r="I21" s="190">
        <f>(EXP(-(InterpolaLineal(B21,'Euribor 6M'!$F$4:$F$15,'Euribor 6M'!$H$4:$H$15))*(YEARFRAC($C$11,B21,3)))/EXP(-(InterpolaLineal(C21,'Euribor 6M'!$F$4:$F$15,'Euribor 6M'!$H$4:$H$15))*(YEARFRAC($C$11,C21,3)))-1)/(YEARFRAC(B21,C21,2))</f>
        <v>-3.113333747069868E-3</v>
      </c>
      <c r="J21" s="178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51"/>
  <sheetViews>
    <sheetView showGridLines="0" topLeftCell="A28" workbookViewId="0">
      <selection activeCell="G32" sqref="G32"/>
    </sheetView>
  </sheetViews>
  <sheetFormatPr defaultRowHeight="14.5" x14ac:dyDescent="0.35"/>
  <cols>
    <col min="1" max="1" width="11.54296875" customWidth="1"/>
    <col min="2" max="2" width="6.54296875" customWidth="1"/>
    <col min="3" max="5" width="10.6328125" bestFit="1" customWidth="1"/>
    <col min="6" max="6" width="11.54296875" customWidth="1"/>
    <col min="7" max="7" width="6.54296875" bestFit="1" customWidth="1"/>
    <col min="8" max="10" width="10.6328125" bestFit="1" customWidth="1"/>
    <col min="11" max="15" width="11.54296875" customWidth="1"/>
    <col min="16" max="16" width="10.08984375" customWidth="1"/>
    <col min="17" max="17" width="4.90625" bestFit="1" customWidth="1"/>
    <col min="18" max="18" width="10.6328125" bestFit="1" customWidth="1"/>
    <col min="19" max="256" width="11.54296875" customWidth="1"/>
  </cols>
  <sheetData>
    <row r="1" spans="1:27" ht="23.5" x14ac:dyDescent="0.55000000000000004">
      <c r="A1" s="38"/>
      <c r="B1" s="41" t="s">
        <v>83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41" t="s">
        <v>98</v>
      </c>
      <c r="R1" s="38"/>
      <c r="S1" s="38"/>
      <c r="T1" s="38"/>
      <c r="U1" s="38"/>
      <c r="V1" s="38"/>
      <c r="W1" s="38"/>
      <c r="X1" s="38"/>
      <c r="Y1" s="38"/>
      <c r="Z1" s="38"/>
      <c r="AA1" s="38"/>
    </row>
    <row r="2" spans="1:27" x14ac:dyDescent="0.35">
      <c r="C2" s="205"/>
      <c r="D2" s="205"/>
      <c r="E2" s="205"/>
      <c r="G2" s="2"/>
      <c r="H2" s="2"/>
      <c r="I2" s="2"/>
      <c r="J2" s="2"/>
    </row>
    <row r="3" spans="1:27" x14ac:dyDescent="0.35">
      <c r="C3" s="259" t="s">
        <v>84</v>
      </c>
      <c r="D3" s="260"/>
      <c r="E3" s="261"/>
      <c r="G3" s="2"/>
      <c r="H3" s="2"/>
      <c r="I3" s="2"/>
      <c r="J3" s="2"/>
      <c r="K3" s="2"/>
      <c r="R3" s="259" t="s">
        <v>84</v>
      </c>
      <c r="S3" s="260"/>
      <c r="T3" s="261"/>
    </row>
    <row r="4" spans="1:27" x14ac:dyDescent="0.35">
      <c r="B4" s="207"/>
      <c r="C4" s="206">
        <v>38628</v>
      </c>
      <c r="D4" s="206">
        <v>39265</v>
      </c>
      <c r="E4" s="211">
        <v>42146</v>
      </c>
      <c r="G4" s="2"/>
      <c r="H4" s="2"/>
      <c r="I4" s="2"/>
      <c r="J4" s="2"/>
      <c r="Q4" s="207"/>
      <c r="R4" s="206">
        <v>38628</v>
      </c>
      <c r="S4" s="206">
        <v>39265</v>
      </c>
      <c r="T4" s="211">
        <v>42146</v>
      </c>
    </row>
    <row r="5" spans="1:27" x14ac:dyDescent="0.35">
      <c r="A5" s="204"/>
      <c r="B5" s="208" t="s">
        <v>73</v>
      </c>
      <c r="C5" s="200">
        <v>2.09868966325313E-2</v>
      </c>
      <c r="D5" s="200">
        <v>4.1262945319121301E-2</v>
      </c>
      <c r="E5" s="202">
        <v>-1.41945272460801E-3</v>
      </c>
      <c r="G5" s="2"/>
      <c r="H5" s="2"/>
      <c r="I5" s="2"/>
      <c r="J5" s="2"/>
      <c r="P5" s="249">
        <v>1</v>
      </c>
      <c r="Q5" s="208" t="s">
        <v>73</v>
      </c>
      <c r="R5" s="240" t="e">
        <f t="shared" ref="R5:T9" ca="1" si="0">EXP(-C5*_xlfn.SINGLE(_xll.FRAC.AÑO(R$4,_xlfn.SINGLE(_xll.DIA.LAB(R$4,$P5)),3)))</f>
        <v>#NAME?</v>
      </c>
      <c r="S5" s="241" t="e">
        <f t="shared" ca="1" si="0"/>
        <v>#NAME?</v>
      </c>
      <c r="T5" s="242" t="e">
        <f t="shared" ca="1" si="0"/>
        <v>#NAME?</v>
      </c>
    </row>
    <row r="6" spans="1:27" x14ac:dyDescent="0.35">
      <c r="A6" s="204"/>
      <c r="B6" s="208" t="s">
        <v>66</v>
      </c>
      <c r="C6" s="200">
        <v>2.0961550865943899E-2</v>
      </c>
      <c r="D6" s="200">
        <v>4.1212256598282197E-2</v>
      </c>
      <c r="E6" s="202">
        <v>-1.4447986688994399E-3</v>
      </c>
      <c r="G6" s="2"/>
      <c r="H6" s="2"/>
      <c r="I6" s="2"/>
      <c r="J6" s="2"/>
      <c r="P6" s="249">
        <v>2</v>
      </c>
      <c r="Q6" s="208" t="s">
        <v>66</v>
      </c>
      <c r="R6" s="243" t="e">
        <f t="shared" ca="1" si="0"/>
        <v>#NAME?</v>
      </c>
      <c r="S6" s="244" t="e">
        <f t="shared" ca="1" si="0"/>
        <v>#NAME?</v>
      </c>
      <c r="T6" s="245" t="e">
        <f t="shared" ca="1" si="0"/>
        <v>#NAME?</v>
      </c>
    </row>
    <row r="7" spans="1:27" x14ac:dyDescent="0.35">
      <c r="A7" s="204"/>
      <c r="B7" s="208" t="s">
        <v>10</v>
      </c>
      <c r="C7" s="200">
        <v>2.11282189682272E-2</v>
      </c>
      <c r="D7" s="200">
        <v>4.0894099675838298E-2</v>
      </c>
      <c r="E7" s="202">
        <v>-1.1060682333546999E-3</v>
      </c>
      <c r="G7" s="2"/>
      <c r="H7" s="2"/>
      <c r="I7" s="2"/>
      <c r="J7" s="2"/>
      <c r="P7" s="249">
        <v>5</v>
      </c>
      <c r="Q7" s="208" t="s">
        <v>10</v>
      </c>
      <c r="R7" s="243" t="e">
        <f t="shared" ca="1" si="0"/>
        <v>#NAME?</v>
      </c>
      <c r="S7" s="244" t="e">
        <f t="shared" ca="1" si="0"/>
        <v>#NAME?</v>
      </c>
      <c r="T7" s="245" t="e">
        <f t="shared" ca="1" si="0"/>
        <v>#NAME?</v>
      </c>
    </row>
    <row r="8" spans="1:27" x14ac:dyDescent="0.35">
      <c r="A8" s="204"/>
      <c r="B8" s="208" t="s">
        <v>11</v>
      </c>
      <c r="C8" s="200">
        <v>2.11452916126602E-2</v>
      </c>
      <c r="D8" s="200">
        <v>4.10130954884462E-2</v>
      </c>
      <c r="E8" s="202">
        <v>-1.1254341761186299E-3</v>
      </c>
      <c r="G8" s="2"/>
      <c r="H8" s="2"/>
      <c r="I8" s="2"/>
      <c r="J8" s="2"/>
      <c r="P8" s="249">
        <v>10</v>
      </c>
      <c r="Q8" s="208" t="s">
        <v>11</v>
      </c>
      <c r="R8" s="243" t="e">
        <f t="shared" ca="1" si="0"/>
        <v>#NAME?</v>
      </c>
      <c r="S8" s="244" t="e">
        <f t="shared" ca="1" si="0"/>
        <v>#NAME?</v>
      </c>
      <c r="T8" s="245" t="e">
        <f t="shared" ca="1" si="0"/>
        <v>#NAME?</v>
      </c>
    </row>
    <row r="9" spans="1:27" x14ac:dyDescent="0.35">
      <c r="A9" s="204"/>
      <c r="B9" s="208" t="s">
        <v>12</v>
      </c>
      <c r="C9" s="200">
        <v>2.1167584023765298E-2</v>
      </c>
      <c r="D9" s="200">
        <v>4.1060671247012903E-2</v>
      </c>
      <c r="E9" s="202">
        <v>-1.14787246293111E-3</v>
      </c>
      <c r="G9" s="2"/>
      <c r="H9" s="2"/>
      <c r="I9" s="2"/>
      <c r="J9" s="2"/>
      <c r="P9" s="249">
        <v>15</v>
      </c>
      <c r="Q9" s="208" t="s">
        <v>12</v>
      </c>
      <c r="R9" s="243" t="e">
        <f t="shared" ca="1" si="0"/>
        <v>#NAME?</v>
      </c>
      <c r="S9" s="244" t="e">
        <f t="shared" ca="1" si="0"/>
        <v>#NAME?</v>
      </c>
      <c r="T9" s="245" t="e">
        <f t="shared" ca="1" si="0"/>
        <v>#NAME?</v>
      </c>
    </row>
    <row r="10" spans="1:27" x14ac:dyDescent="0.35">
      <c r="A10" s="204"/>
      <c r="B10" s="208" t="s">
        <v>13</v>
      </c>
      <c r="C10" s="200">
        <v>2.1205799585659799E-2</v>
      </c>
      <c r="D10" s="200">
        <v>4.11422296902701E-2</v>
      </c>
      <c r="E10" s="202">
        <v>-1.17992715837752E-3</v>
      </c>
      <c r="G10" s="2"/>
      <c r="H10" s="2"/>
      <c r="I10" s="2"/>
      <c r="J10" s="2"/>
      <c r="P10" s="249">
        <v>1</v>
      </c>
      <c r="Q10" s="208" t="s">
        <v>13</v>
      </c>
      <c r="R10" s="243" t="e">
        <f t="shared" ref="R10:R28" ca="1" si="1">EXP(-C10*_xlfn.SINGLE(_xll.FRAC.AÑO(R$4,_xlfn.SINGLE(_xll.DIA.LAB(_xlfn.SINGLE(_xll.FECHA.MES(R$4,$P10))-1,1)),3)))</f>
        <v>#NAME?</v>
      </c>
      <c r="S10" s="244" t="e">
        <f t="shared" ref="S10:S28" ca="1" si="2">EXP(-D10*_xlfn.SINGLE(_xll.FRAC.AÑO(S$4,_xlfn.SINGLE(_xll.DIA.LAB(_xlfn.SINGLE(_xll.FECHA.MES(S$4,$P10))-1,1)),3)))</f>
        <v>#NAME?</v>
      </c>
      <c r="T10" s="245" t="e">
        <f t="shared" ref="T10:T28" ca="1" si="3">EXP(-E10*_xlfn.SINGLE(_xll.FRAC.AÑO(T$4,_xlfn.SINGLE(_xll.DIA.LAB(_xlfn.SINGLE(_xll.FECHA.MES(T$4,$P10))-1,1)),3)))</f>
        <v>#NAME?</v>
      </c>
    </row>
    <row r="11" spans="1:27" x14ac:dyDescent="0.35">
      <c r="A11" s="204"/>
      <c r="B11" s="208" t="s">
        <v>14</v>
      </c>
      <c r="C11" s="200">
        <v>2.1293505588755798E-2</v>
      </c>
      <c r="D11" s="200">
        <v>4.1153429253763599E-2</v>
      </c>
      <c r="E11" s="202">
        <v>-1.2306109675888899E-3</v>
      </c>
      <c r="G11" s="2"/>
      <c r="H11" s="2"/>
      <c r="I11" s="2"/>
      <c r="J11" s="2"/>
      <c r="P11" s="249">
        <v>2</v>
      </c>
      <c r="Q11" s="208" t="s">
        <v>14</v>
      </c>
      <c r="R11" s="243" t="e">
        <f t="shared" ca="1" si="1"/>
        <v>#NAME?</v>
      </c>
      <c r="S11" s="244" t="e">
        <f t="shared" ca="1" si="2"/>
        <v>#NAME?</v>
      </c>
      <c r="T11" s="245" t="e">
        <f t="shared" ca="1" si="3"/>
        <v>#NAME?</v>
      </c>
    </row>
    <row r="12" spans="1:27" x14ac:dyDescent="0.35">
      <c r="A12" s="204"/>
      <c r="B12" s="208" t="s">
        <v>16</v>
      </c>
      <c r="C12" s="200">
        <v>2.1409545550962202E-2</v>
      </c>
      <c r="D12" s="200">
        <v>4.1477839272196802E-2</v>
      </c>
      <c r="E12" s="202">
        <v>-1.2603690932307999E-3</v>
      </c>
      <c r="G12" s="2"/>
      <c r="H12" s="2"/>
      <c r="I12" s="2"/>
      <c r="J12" s="2"/>
      <c r="P12" s="249">
        <v>3</v>
      </c>
      <c r="Q12" s="208" t="s">
        <v>16</v>
      </c>
      <c r="R12" s="243" t="e">
        <f t="shared" ca="1" si="1"/>
        <v>#NAME?</v>
      </c>
      <c r="S12" s="244" t="e">
        <f t="shared" ca="1" si="2"/>
        <v>#NAME?</v>
      </c>
      <c r="T12" s="245" t="e">
        <f t="shared" ca="1" si="3"/>
        <v>#NAME?</v>
      </c>
    </row>
    <row r="13" spans="1:27" x14ac:dyDescent="0.35">
      <c r="A13" s="204"/>
      <c r="B13" s="208" t="s">
        <v>18</v>
      </c>
      <c r="C13" s="200">
        <v>2.14715315782485E-2</v>
      </c>
      <c r="D13" s="200">
        <v>4.1990838716963297E-2</v>
      </c>
      <c r="E13" s="202">
        <v>-1.28295842254224E-3</v>
      </c>
      <c r="G13" s="2"/>
      <c r="H13" s="2"/>
      <c r="I13" s="2"/>
      <c r="J13" s="2"/>
      <c r="P13" s="249">
        <v>4</v>
      </c>
      <c r="Q13" s="208" t="s">
        <v>18</v>
      </c>
      <c r="R13" s="243" t="e">
        <f t="shared" ca="1" si="1"/>
        <v>#NAME?</v>
      </c>
      <c r="S13" s="244" t="e">
        <f t="shared" ca="1" si="2"/>
        <v>#NAME?</v>
      </c>
      <c r="T13" s="245" t="e">
        <f t="shared" ca="1" si="3"/>
        <v>#NAME?</v>
      </c>
    </row>
    <row r="14" spans="1:27" x14ac:dyDescent="0.35">
      <c r="A14" s="204"/>
      <c r="B14" s="208" t="s">
        <v>19</v>
      </c>
      <c r="C14" s="200">
        <v>2.1544883525862899E-2</v>
      </c>
      <c r="D14" s="200">
        <v>4.226372197778E-2</v>
      </c>
      <c r="E14" s="202">
        <v>-1.2820958414770801E-3</v>
      </c>
      <c r="G14" s="2"/>
      <c r="H14" s="2"/>
      <c r="I14" s="2"/>
      <c r="J14" s="2"/>
      <c r="P14" s="249">
        <v>5</v>
      </c>
      <c r="Q14" s="208" t="s">
        <v>19</v>
      </c>
      <c r="R14" s="243" t="e">
        <f t="shared" ca="1" si="1"/>
        <v>#NAME?</v>
      </c>
      <c r="S14" s="244" t="e">
        <f t="shared" ca="1" si="2"/>
        <v>#NAME?</v>
      </c>
      <c r="T14" s="245" t="e">
        <f t="shared" ca="1" si="3"/>
        <v>#NAME?</v>
      </c>
    </row>
    <row r="15" spans="1:27" x14ac:dyDescent="0.35">
      <c r="A15" s="204"/>
      <c r="B15" s="208" t="s">
        <v>20</v>
      </c>
      <c r="C15" s="200">
        <v>2.1661268160387801E-2</v>
      </c>
      <c r="D15" s="200">
        <v>4.2677512322277698E-2</v>
      </c>
      <c r="E15" s="202">
        <v>-1.2814623218468601E-3</v>
      </c>
      <c r="G15" s="2"/>
      <c r="H15" s="2"/>
      <c r="I15" s="2"/>
      <c r="J15" s="2"/>
      <c r="P15" s="249">
        <v>6</v>
      </c>
      <c r="Q15" s="208" t="s">
        <v>20</v>
      </c>
      <c r="R15" s="243" t="e">
        <f t="shared" ca="1" si="1"/>
        <v>#NAME?</v>
      </c>
      <c r="S15" s="244" t="e">
        <f t="shared" ca="1" si="2"/>
        <v>#NAME?</v>
      </c>
      <c r="T15" s="245" t="e">
        <f t="shared" ca="1" si="3"/>
        <v>#NAME?</v>
      </c>
    </row>
    <row r="16" spans="1:27" x14ac:dyDescent="0.35">
      <c r="A16" s="204"/>
      <c r="B16" s="208" t="s">
        <v>30</v>
      </c>
      <c r="C16" s="200">
        <v>2.1806970670640399E-2</v>
      </c>
      <c r="D16" s="200">
        <v>4.2956460353075897E-2</v>
      </c>
      <c r="E16" s="202">
        <v>-1.2909782548540601E-3</v>
      </c>
      <c r="G16" s="2"/>
      <c r="H16" s="2"/>
      <c r="I16" s="2"/>
      <c r="J16" s="2"/>
      <c r="P16" s="249">
        <v>7</v>
      </c>
      <c r="Q16" s="208" t="s">
        <v>30</v>
      </c>
      <c r="R16" s="243" t="e">
        <f t="shared" ca="1" si="1"/>
        <v>#NAME?</v>
      </c>
      <c r="S16" s="244" t="e">
        <f t="shared" ca="1" si="2"/>
        <v>#NAME?</v>
      </c>
      <c r="T16" s="245" t="e">
        <f t="shared" ca="1" si="3"/>
        <v>#NAME?</v>
      </c>
    </row>
    <row r="17" spans="1:20" x14ac:dyDescent="0.35">
      <c r="A17" s="204"/>
      <c r="B17" s="208" t="s">
        <v>31</v>
      </c>
      <c r="C17" s="200">
        <v>2.1996166538006099E-2</v>
      </c>
      <c r="D17" s="200">
        <v>4.3218597513230601E-2</v>
      </c>
      <c r="E17" s="202">
        <v>-1.2857190633578301E-3</v>
      </c>
      <c r="G17" s="2"/>
      <c r="H17" s="2"/>
      <c r="I17" s="2"/>
      <c r="J17" s="2"/>
      <c r="P17" s="249">
        <v>8</v>
      </c>
      <c r="Q17" s="208" t="s">
        <v>31</v>
      </c>
      <c r="R17" s="243" t="e">
        <f t="shared" ca="1" si="1"/>
        <v>#NAME?</v>
      </c>
      <c r="S17" s="244" t="e">
        <f t="shared" ca="1" si="2"/>
        <v>#NAME?</v>
      </c>
      <c r="T17" s="245" t="e">
        <f t="shared" ca="1" si="3"/>
        <v>#NAME?</v>
      </c>
    </row>
    <row r="18" spans="1:20" x14ac:dyDescent="0.35">
      <c r="A18" s="204"/>
      <c r="B18" s="208" t="s">
        <v>32</v>
      </c>
      <c r="C18" s="200">
        <v>2.2190315364640299E-2</v>
      </c>
      <c r="D18" s="200">
        <v>4.3507909837780197E-2</v>
      </c>
      <c r="E18" s="202">
        <v>-1.27549674470456E-3</v>
      </c>
      <c r="G18" s="2"/>
      <c r="H18" s="2"/>
      <c r="I18" s="2"/>
      <c r="J18" s="2"/>
      <c r="P18" s="249">
        <v>9</v>
      </c>
      <c r="Q18" s="208" t="s">
        <v>32</v>
      </c>
      <c r="R18" s="243" t="e">
        <f t="shared" ca="1" si="1"/>
        <v>#NAME?</v>
      </c>
      <c r="S18" s="244" t="e">
        <f t="shared" ca="1" si="2"/>
        <v>#NAME?</v>
      </c>
      <c r="T18" s="245" t="e">
        <f t="shared" ca="1" si="3"/>
        <v>#NAME?</v>
      </c>
    </row>
    <row r="19" spans="1:20" x14ac:dyDescent="0.35">
      <c r="A19" s="204"/>
      <c r="B19" s="208" t="s">
        <v>33</v>
      </c>
      <c r="C19" s="200">
        <v>2.2408551367278401E-2</v>
      </c>
      <c r="D19" s="200">
        <v>4.3756057089940799E-2</v>
      </c>
      <c r="E19" s="202">
        <v>-1.28032508828205E-3</v>
      </c>
      <c r="F19" s="220"/>
      <c r="G19" s="2"/>
      <c r="H19" s="2"/>
      <c r="I19" s="2"/>
      <c r="J19" s="2"/>
      <c r="P19" s="249">
        <v>10</v>
      </c>
      <c r="Q19" s="208" t="s">
        <v>33</v>
      </c>
      <c r="R19" s="243" t="e">
        <f t="shared" ca="1" si="1"/>
        <v>#NAME?</v>
      </c>
      <c r="S19" s="244" t="e">
        <f t="shared" ca="1" si="2"/>
        <v>#NAME?</v>
      </c>
      <c r="T19" s="245" t="e">
        <f t="shared" ca="1" si="3"/>
        <v>#NAME?</v>
      </c>
    </row>
    <row r="20" spans="1:20" x14ac:dyDescent="0.35">
      <c r="A20" s="204"/>
      <c r="B20" s="208" t="s">
        <v>34</v>
      </c>
      <c r="C20" s="200">
        <v>2.2587120506641301E-2</v>
      </c>
      <c r="D20" s="200">
        <v>4.3970794919032503E-2</v>
      </c>
      <c r="E20" s="202">
        <v>-1.2701797769354599E-3</v>
      </c>
      <c r="F20" s="220"/>
      <c r="G20" s="2"/>
      <c r="H20" s="2"/>
      <c r="I20" s="2"/>
      <c r="J20" s="2"/>
      <c r="P20" s="249">
        <v>11</v>
      </c>
      <c r="Q20" s="208" t="s">
        <v>34</v>
      </c>
      <c r="R20" s="243" t="e">
        <f t="shared" ca="1" si="1"/>
        <v>#NAME?</v>
      </c>
      <c r="S20" s="244" t="e">
        <f t="shared" ca="1" si="2"/>
        <v>#NAME?</v>
      </c>
      <c r="T20" s="245" t="e">
        <f t="shared" ca="1" si="3"/>
        <v>#NAME?</v>
      </c>
    </row>
    <row r="21" spans="1:20" x14ac:dyDescent="0.35">
      <c r="A21" s="204"/>
      <c r="B21" s="208" t="s">
        <v>74</v>
      </c>
      <c r="C21" s="200">
        <v>2.2793933413628099E-2</v>
      </c>
      <c r="D21" s="200">
        <v>4.41451450086284E-2</v>
      </c>
      <c r="E21" s="202">
        <v>-1.2499927492840199E-3</v>
      </c>
      <c r="F21" s="220"/>
      <c r="G21" s="2"/>
      <c r="H21" s="2"/>
      <c r="I21" s="2"/>
      <c r="J21" s="2"/>
      <c r="P21" s="249">
        <v>12</v>
      </c>
      <c r="Q21" s="208" t="s">
        <v>74</v>
      </c>
      <c r="R21" s="243" t="e">
        <f t="shared" ca="1" si="1"/>
        <v>#NAME?</v>
      </c>
      <c r="S21" s="244" t="e">
        <f t="shared" ca="1" si="2"/>
        <v>#NAME?</v>
      </c>
      <c r="T21" s="245" t="e">
        <f t="shared" ca="1" si="3"/>
        <v>#NAME?</v>
      </c>
    </row>
    <row r="22" spans="1:20" x14ac:dyDescent="0.35">
      <c r="A22" s="204"/>
      <c r="B22" s="208" t="s">
        <v>36</v>
      </c>
      <c r="C22" s="200">
        <v>2.3270096249512599E-2</v>
      </c>
      <c r="D22" s="200">
        <v>4.4436821697613801E-2</v>
      </c>
      <c r="E22" s="202">
        <v>-1.21472338850814E-3</v>
      </c>
      <c r="G22" s="2"/>
      <c r="H22" s="2"/>
      <c r="I22" s="2"/>
      <c r="J22" s="2"/>
      <c r="P22" s="249">
        <v>15</v>
      </c>
      <c r="Q22" s="208" t="s">
        <v>36</v>
      </c>
      <c r="R22" s="243" t="e">
        <f t="shared" ca="1" si="1"/>
        <v>#NAME?</v>
      </c>
      <c r="S22" s="244" t="e">
        <f t="shared" ca="1" si="2"/>
        <v>#NAME?</v>
      </c>
      <c r="T22" s="245" t="e">
        <f t="shared" ca="1" si="3"/>
        <v>#NAME?</v>
      </c>
    </row>
    <row r="23" spans="1:20" x14ac:dyDescent="0.35">
      <c r="A23" s="204"/>
      <c r="B23" s="209" t="s">
        <v>37</v>
      </c>
      <c r="C23" s="200">
        <v>2.37359077193997E-2</v>
      </c>
      <c r="D23" s="200">
        <v>4.4719189556099798E-2</v>
      </c>
      <c r="E23" s="202">
        <v>-1.1786873024979901E-3</v>
      </c>
      <c r="G23" s="2"/>
      <c r="H23" s="2"/>
      <c r="I23" s="2"/>
      <c r="J23" s="2"/>
      <c r="P23" s="249">
        <v>18</v>
      </c>
      <c r="Q23" s="209" t="s">
        <v>37</v>
      </c>
      <c r="R23" s="243" t="e">
        <f t="shared" ca="1" si="1"/>
        <v>#NAME?</v>
      </c>
      <c r="S23" s="244" t="e">
        <f t="shared" ca="1" si="2"/>
        <v>#NAME?</v>
      </c>
      <c r="T23" s="245" t="e">
        <f t="shared" ca="1" si="3"/>
        <v>#NAME?</v>
      </c>
    </row>
    <row r="24" spans="1:20" x14ac:dyDescent="0.35">
      <c r="A24" s="204"/>
      <c r="B24" s="209" t="s">
        <v>38</v>
      </c>
      <c r="C24" s="200">
        <v>2.4144948900949099E-2</v>
      </c>
      <c r="D24" s="200">
        <v>4.4868269685893199E-2</v>
      </c>
      <c r="E24" s="202">
        <v>-1.1118084639736999E-3</v>
      </c>
      <c r="G24" s="2"/>
      <c r="H24" s="2"/>
      <c r="I24" s="2"/>
      <c r="J24" s="2"/>
      <c r="P24" s="249">
        <v>21</v>
      </c>
      <c r="Q24" s="209" t="s">
        <v>38</v>
      </c>
      <c r="R24" s="243" t="e">
        <f t="shared" ca="1" si="1"/>
        <v>#NAME?</v>
      </c>
      <c r="S24" s="244" t="e">
        <f t="shared" ca="1" si="2"/>
        <v>#NAME?</v>
      </c>
      <c r="T24" s="245" t="e">
        <f t="shared" ca="1" si="3"/>
        <v>#NAME?</v>
      </c>
    </row>
    <row r="25" spans="1:20" x14ac:dyDescent="0.35">
      <c r="A25" s="204"/>
      <c r="B25" s="209" t="s">
        <v>75</v>
      </c>
      <c r="C25" s="200">
        <v>2.4558485040537401E-2</v>
      </c>
      <c r="D25" s="200">
        <v>4.5017349815686503E-2</v>
      </c>
      <c r="E25" s="202">
        <v>-1.0471344223238401E-3</v>
      </c>
      <c r="G25" s="2"/>
      <c r="H25" s="2"/>
      <c r="I25" s="2"/>
      <c r="J25" s="2"/>
      <c r="P25" s="249">
        <f>2*12</f>
        <v>24</v>
      </c>
      <c r="Q25" s="209" t="s">
        <v>75</v>
      </c>
      <c r="R25" s="243" t="e">
        <f t="shared" ca="1" si="1"/>
        <v>#NAME?</v>
      </c>
      <c r="S25" s="244" t="e">
        <f t="shared" ca="1" si="2"/>
        <v>#NAME?</v>
      </c>
      <c r="T25" s="245" t="e">
        <f t="shared" ca="1" si="3"/>
        <v>#NAME?</v>
      </c>
    </row>
    <row r="26" spans="1:20" x14ac:dyDescent="0.35">
      <c r="A26" s="204"/>
      <c r="B26" s="209" t="s">
        <v>76</v>
      </c>
      <c r="C26" s="200">
        <v>2.58005192510611E-2</v>
      </c>
      <c r="D26" s="200">
        <v>4.52749879246361E-2</v>
      </c>
      <c r="E26" s="202">
        <v>-4.5013194504641899E-4</v>
      </c>
      <c r="P26" s="249">
        <f>3*12</f>
        <v>36</v>
      </c>
      <c r="Q26" s="209" t="s">
        <v>76</v>
      </c>
      <c r="R26" s="243" t="e">
        <f t="shared" ca="1" si="1"/>
        <v>#NAME?</v>
      </c>
      <c r="S26" s="244" t="e">
        <f t="shared" ca="1" si="2"/>
        <v>#NAME?</v>
      </c>
      <c r="T26" s="245" t="e">
        <f t="shared" ca="1" si="3"/>
        <v>#NAME?</v>
      </c>
    </row>
    <row r="27" spans="1:20" x14ac:dyDescent="0.35">
      <c r="A27" s="204"/>
      <c r="B27" s="209" t="s">
        <v>77</v>
      </c>
      <c r="C27" s="200">
        <v>2.6773755785215899E-2</v>
      </c>
      <c r="D27" s="200">
        <v>4.5437850480410498E-2</v>
      </c>
      <c r="E27" s="202">
        <v>4.8220496381879801E-4</v>
      </c>
      <c r="P27" s="249">
        <f>4*12</f>
        <v>48</v>
      </c>
      <c r="Q27" s="209" t="s">
        <v>77</v>
      </c>
      <c r="R27" s="243" t="e">
        <f t="shared" ca="1" si="1"/>
        <v>#NAME?</v>
      </c>
      <c r="S27" s="244" t="e">
        <f t="shared" ca="1" si="2"/>
        <v>#NAME?</v>
      </c>
      <c r="T27" s="245" t="e">
        <f t="shared" ca="1" si="3"/>
        <v>#NAME?</v>
      </c>
    </row>
    <row r="28" spans="1:20" x14ac:dyDescent="0.35">
      <c r="A28" s="204"/>
      <c r="B28" s="210" t="s">
        <v>78</v>
      </c>
      <c r="C28" s="201">
        <v>2.7779246138654099E-2</v>
      </c>
      <c r="D28" s="201">
        <v>4.5560148654335303E-2</v>
      </c>
      <c r="E28" s="203">
        <v>1.62038385778813E-3</v>
      </c>
      <c r="P28" s="36">
        <f>5*12</f>
        <v>60</v>
      </c>
      <c r="Q28" s="210" t="s">
        <v>78</v>
      </c>
      <c r="R28" s="246" t="e">
        <f t="shared" ca="1" si="1"/>
        <v>#NAME?</v>
      </c>
      <c r="S28" s="247" t="e">
        <f t="shared" ca="1" si="2"/>
        <v>#NAME?</v>
      </c>
      <c r="T28" s="248" t="e">
        <f t="shared" ca="1" si="3"/>
        <v>#NAME?</v>
      </c>
    </row>
    <row r="32" spans="1:20" x14ac:dyDescent="0.35">
      <c r="C32" s="2"/>
      <c r="D32" s="2"/>
    </row>
    <row r="33" spans="1:5" x14ac:dyDescent="0.35">
      <c r="B33" s="204"/>
      <c r="C33" s="259" t="s">
        <v>85</v>
      </c>
      <c r="D33" s="260"/>
      <c r="E33" s="261"/>
    </row>
    <row r="34" spans="1:5" x14ac:dyDescent="0.35">
      <c r="B34" s="207"/>
      <c r="C34" s="206">
        <v>38628</v>
      </c>
      <c r="D34" s="206">
        <v>39265</v>
      </c>
      <c r="E34" s="213">
        <v>42146</v>
      </c>
    </row>
    <row r="35" spans="1:5" x14ac:dyDescent="0.35">
      <c r="A35" s="204"/>
      <c r="B35" s="212" t="s">
        <v>20</v>
      </c>
      <c r="C35" s="200">
        <v>2.2342855419168198E-2</v>
      </c>
      <c r="D35" s="200">
        <v>4.3283770227236999E-2</v>
      </c>
      <c r="E35" s="202">
        <v>5.4742445889916001E-4</v>
      </c>
    </row>
    <row r="36" spans="1:5" x14ac:dyDescent="0.35">
      <c r="A36" s="204"/>
      <c r="B36" s="212" t="s">
        <v>30</v>
      </c>
      <c r="C36" s="200">
        <v>2.23504640309218E-2</v>
      </c>
      <c r="D36" s="200">
        <v>4.3541004741848702E-2</v>
      </c>
      <c r="E36" s="202">
        <v>6.2555455456961197E-4</v>
      </c>
    </row>
    <row r="37" spans="1:5" x14ac:dyDescent="0.35">
      <c r="A37" s="204"/>
      <c r="B37" s="212" t="s">
        <v>31</v>
      </c>
      <c r="C37" s="200">
        <v>2.2329368597279999E-2</v>
      </c>
      <c r="D37" s="200">
        <v>4.3811159644240698E-2</v>
      </c>
      <c r="E37" s="202">
        <v>6.5341570904175095E-4</v>
      </c>
    </row>
    <row r="38" spans="1:5" x14ac:dyDescent="0.35">
      <c r="A38" s="204"/>
      <c r="B38" s="212" t="s">
        <v>32</v>
      </c>
      <c r="C38" s="200">
        <v>2.2614085412590901E-2</v>
      </c>
      <c r="D38" s="200">
        <v>4.4172026475934399E-2</v>
      </c>
      <c r="E38" s="202">
        <v>6.7580871710191297E-4</v>
      </c>
    </row>
    <row r="39" spans="1:5" x14ac:dyDescent="0.35">
      <c r="A39" s="204"/>
      <c r="B39" s="212" t="s">
        <v>33</v>
      </c>
      <c r="C39" s="200">
        <v>2.2598092379193899E-2</v>
      </c>
      <c r="D39" s="200">
        <v>4.4222182532449202E-2</v>
      </c>
      <c r="E39" s="202">
        <v>6.9195413541732801E-4</v>
      </c>
    </row>
    <row r="40" spans="1:5" x14ac:dyDescent="0.35">
      <c r="A40" s="204"/>
      <c r="B40" s="212" t="s">
        <v>34</v>
      </c>
      <c r="C40" s="200">
        <v>2.2887758360933201E-2</v>
      </c>
      <c r="D40" s="200">
        <v>4.4449602137145203E-2</v>
      </c>
      <c r="E40" s="202">
        <v>7.0198931043791895E-4</v>
      </c>
    </row>
    <row r="41" spans="1:5" x14ac:dyDescent="0.35">
      <c r="A41" s="204"/>
      <c r="B41" s="212" t="s">
        <v>74</v>
      </c>
      <c r="C41" s="200">
        <v>2.2866406795787601E-2</v>
      </c>
      <c r="D41" s="200">
        <v>4.4854460131864698E-2</v>
      </c>
      <c r="E41" s="202">
        <v>7.0870355473854902E-4</v>
      </c>
    </row>
    <row r="42" spans="1:5" x14ac:dyDescent="0.35">
      <c r="A42" s="204"/>
      <c r="B42" s="212" t="s">
        <v>79</v>
      </c>
      <c r="C42" s="200">
        <v>2.2866406795787601E-2</v>
      </c>
      <c r="D42" s="200">
        <v>4.4854460131864698E-2</v>
      </c>
      <c r="E42" s="202">
        <v>7.5667591251559895E-4</v>
      </c>
    </row>
    <row r="43" spans="1:5" x14ac:dyDescent="0.35">
      <c r="A43" s="204"/>
      <c r="B43" s="212" t="s">
        <v>80</v>
      </c>
      <c r="C43" s="200">
        <v>2.2866406795787601E-2</v>
      </c>
      <c r="D43" s="200">
        <v>4.4854460131864698E-2</v>
      </c>
      <c r="E43" s="202">
        <v>7.8103456154554303E-4</v>
      </c>
    </row>
    <row r="44" spans="1:5" x14ac:dyDescent="0.35">
      <c r="A44" s="204"/>
      <c r="B44" s="212" t="s">
        <v>36</v>
      </c>
      <c r="C44" s="200">
        <v>2.3524119822480899E-2</v>
      </c>
      <c r="D44" s="200">
        <v>4.5224897620271001E-2</v>
      </c>
      <c r="E44" s="202">
        <v>8.0199922605833705E-4</v>
      </c>
    </row>
    <row r="45" spans="1:5" x14ac:dyDescent="0.35">
      <c r="A45" s="204"/>
      <c r="B45" s="212" t="s">
        <v>81</v>
      </c>
      <c r="C45" s="200">
        <v>2.3745740516257899E-2</v>
      </c>
      <c r="D45" s="200">
        <v>4.5339181526268701E-2</v>
      </c>
      <c r="E45" s="202">
        <v>8.2227454658654101E-4</v>
      </c>
    </row>
    <row r="46" spans="1:5" x14ac:dyDescent="0.35">
      <c r="A46" s="204"/>
      <c r="B46" s="212" t="s">
        <v>82</v>
      </c>
      <c r="C46" s="200">
        <v>2.3945914046121099E-2</v>
      </c>
      <c r="D46" s="200">
        <v>4.5457406256611099E-2</v>
      </c>
      <c r="E46" s="202">
        <v>8.4045938872526996E-4</v>
      </c>
    </row>
    <row r="47" spans="1:5" x14ac:dyDescent="0.35">
      <c r="A47" s="204"/>
      <c r="B47" s="212" t="s">
        <v>37</v>
      </c>
      <c r="C47" s="200">
        <v>2.4167534739898199E-2</v>
      </c>
      <c r="D47" s="200">
        <v>4.5583512635643003E-2</v>
      </c>
      <c r="E47" s="202">
        <v>8.5583783460932601E-4</v>
      </c>
    </row>
    <row r="48" spans="1:5" x14ac:dyDescent="0.35">
      <c r="A48" s="204"/>
      <c r="B48" s="212" t="s">
        <v>75</v>
      </c>
      <c r="C48" s="200">
        <v>2.5475811738646801E-2</v>
      </c>
      <c r="D48" s="200">
        <v>4.6300742666387097E-2</v>
      </c>
      <c r="E48" s="202">
        <v>1.08817758720061E-3</v>
      </c>
    </row>
    <row r="49" spans="1:5" x14ac:dyDescent="0.35">
      <c r="A49" s="204"/>
      <c r="B49" s="212" t="s">
        <v>76</v>
      </c>
      <c r="C49" s="200">
        <v>2.67376780557332E-2</v>
      </c>
      <c r="D49" s="200">
        <v>4.6530643201931503E-2</v>
      </c>
      <c r="E49" s="202">
        <v>1.7752695539326299E-3</v>
      </c>
    </row>
    <row r="50" spans="1:5" x14ac:dyDescent="0.35">
      <c r="A50" s="204"/>
      <c r="B50" s="212" t="s">
        <v>77</v>
      </c>
      <c r="C50" s="200">
        <v>2.7791939672580399E-2</v>
      </c>
      <c r="D50" s="200">
        <v>4.6622286573229803E-2</v>
      </c>
      <c r="E50" s="202">
        <v>2.7965217757351499E-3</v>
      </c>
    </row>
    <row r="51" spans="1:5" x14ac:dyDescent="0.35">
      <c r="A51" s="204"/>
      <c r="B51" s="214" t="s">
        <v>78</v>
      </c>
      <c r="C51" s="201">
        <v>2.87905527111623E-2</v>
      </c>
      <c r="D51" s="201">
        <v>4.6743265454869301E-2</v>
      </c>
      <c r="E51" s="203">
        <v>3.9831890766961397E-3</v>
      </c>
    </row>
  </sheetData>
  <mergeCells count="3">
    <mergeCell ref="C3:E3"/>
    <mergeCell ref="C33:E33"/>
    <mergeCell ref="R3:T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O37"/>
  <sheetViews>
    <sheetView topLeftCell="A10" workbookViewId="0">
      <selection activeCell="I44" sqref="I44"/>
    </sheetView>
  </sheetViews>
  <sheetFormatPr defaultRowHeight="14.5" x14ac:dyDescent="0.35"/>
  <cols>
    <col min="1" max="256" width="11.54296875" customWidth="1"/>
  </cols>
  <sheetData>
    <row r="1" spans="1:15" x14ac:dyDescent="0.35">
      <c r="A1" s="228"/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</row>
    <row r="2" spans="1:15" x14ac:dyDescent="0.35">
      <c r="A2" s="228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</row>
    <row r="3" spans="1:15" x14ac:dyDescent="0.35">
      <c r="A3" s="228"/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</row>
    <row r="4" spans="1:15" x14ac:dyDescent="0.35">
      <c r="A4" s="228"/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</row>
    <row r="5" spans="1:15" x14ac:dyDescent="0.35">
      <c r="A5" s="228"/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</row>
    <row r="6" spans="1:15" x14ac:dyDescent="0.35">
      <c r="A6" s="228"/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</row>
    <row r="7" spans="1:15" x14ac:dyDescent="0.35">
      <c r="A7" s="228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</row>
    <row r="8" spans="1:15" x14ac:dyDescent="0.35">
      <c r="A8" s="228"/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</row>
    <row r="9" spans="1:15" x14ac:dyDescent="0.35">
      <c r="A9" s="228"/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</row>
    <row r="10" spans="1:15" x14ac:dyDescent="0.35">
      <c r="A10" s="228"/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</row>
    <row r="11" spans="1:15" x14ac:dyDescent="0.35">
      <c r="A11" s="228"/>
      <c r="B11" s="228"/>
      <c r="C11" s="228"/>
      <c r="D11" s="228"/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</row>
    <row r="12" spans="1:15" x14ac:dyDescent="0.35">
      <c r="A12" s="228"/>
      <c r="B12" s="229" t="s">
        <v>86</v>
      </c>
      <c r="C12" s="229" t="s">
        <v>87</v>
      </c>
      <c r="D12" s="229" t="s">
        <v>88</v>
      </c>
      <c r="E12" s="229" t="s">
        <v>89</v>
      </c>
      <c r="F12" s="229" t="s">
        <v>90</v>
      </c>
      <c r="G12" s="229" t="s">
        <v>91</v>
      </c>
      <c r="H12" s="229" t="s">
        <v>92</v>
      </c>
      <c r="I12" s="229" t="s">
        <v>93</v>
      </c>
      <c r="J12" s="228"/>
      <c r="K12" s="228"/>
      <c r="L12" s="228"/>
      <c r="M12" s="228"/>
      <c r="N12" s="228"/>
      <c r="O12" s="228"/>
    </row>
    <row r="13" spans="1:15" x14ac:dyDescent="0.35">
      <c r="A13" s="228"/>
      <c r="B13" s="228" t="s">
        <v>94</v>
      </c>
      <c r="C13" s="230">
        <v>366</v>
      </c>
      <c r="D13" s="231">
        <v>-3.5E-4</v>
      </c>
      <c r="E13" s="232">
        <f>+C13/360</f>
        <v>1.0166666666666666</v>
      </c>
      <c r="F13" s="233">
        <f>(1+D13)^E13</f>
        <v>0.99964416770463305</v>
      </c>
      <c r="G13" s="234"/>
      <c r="H13" s="228"/>
      <c r="I13" s="228"/>
      <c r="J13" s="228"/>
      <c r="K13" s="228"/>
      <c r="L13" s="228"/>
      <c r="M13" s="228"/>
      <c r="N13" s="228"/>
      <c r="O13" s="228"/>
    </row>
    <row r="14" spans="1:15" x14ac:dyDescent="0.35">
      <c r="A14" s="228"/>
      <c r="B14" s="228" t="s">
        <v>95</v>
      </c>
      <c r="C14" s="230">
        <v>732</v>
      </c>
      <c r="D14" s="231">
        <v>-2.0000000000000002E-5</v>
      </c>
      <c r="E14" s="232">
        <f>+C14/360</f>
        <v>2.0333333333333332</v>
      </c>
      <c r="F14" s="233">
        <f t="shared" ref="F14:F20" si="0">(1+D14)^E14</f>
        <v>0.99995933375355539</v>
      </c>
      <c r="G14" s="228">
        <f>+F14/F13</f>
        <v>1.0003152782351004</v>
      </c>
      <c r="H14" s="228">
        <f>1/(E14-E13)</f>
        <v>0.98360655737704927</v>
      </c>
      <c r="I14" s="235">
        <f>(G14^H14)-1</f>
        <v>3.1010893812810636E-4</v>
      </c>
      <c r="J14" s="236"/>
      <c r="K14" s="237"/>
      <c r="L14" s="228"/>
      <c r="M14" s="228"/>
      <c r="N14" s="228"/>
      <c r="O14" s="228"/>
    </row>
    <row r="15" spans="1:15" x14ac:dyDescent="0.35">
      <c r="A15" s="228"/>
      <c r="B15" s="228"/>
      <c r="C15" s="228"/>
      <c r="D15" s="233"/>
      <c r="E15" s="232"/>
      <c r="F15" s="233"/>
      <c r="G15" s="228"/>
      <c r="H15" s="228"/>
      <c r="I15" s="238"/>
      <c r="J15" s="236"/>
      <c r="K15" s="237"/>
      <c r="L15" s="228"/>
      <c r="M15" s="228"/>
      <c r="N15" s="228"/>
      <c r="O15" s="228"/>
    </row>
    <row r="16" spans="1:15" x14ac:dyDescent="0.35">
      <c r="A16" s="228"/>
      <c r="B16" s="228" t="s">
        <v>94</v>
      </c>
      <c r="C16" s="230">
        <v>365</v>
      </c>
      <c r="D16" s="231">
        <v>-3.4000000000000002E-4</v>
      </c>
      <c r="E16" s="232">
        <f>+C16/360</f>
        <v>1.0138888888888888</v>
      </c>
      <c r="F16" s="233">
        <f t="shared" si="0"/>
        <v>0.99965527859179626</v>
      </c>
      <c r="G16" s="228"/>
      <c r="H16" s="228"/>
      <c r="I16" s="238"/>
      <c r="J16" s="236"/>
      <c r="K16" s="237"/>
      <c r="L16" s="228"/>
      <c r="M16" s="228"/>
      <c r="N16" s="228"/>
      <c r="O16" s="228"/>
    </row>
    <row r="17" spans="1:15" x14ac:dyDescent="0.35">
      <c r="A17" s="228"/>
      <c r="B17" s="228" t="s">
        <v>95</v>
      </c>
      <c r="C17" s="230">
        <v>730</v>
      </c>
      <c r="D17" s="231">
        <v>-1.0000000000000001E-5</v>
      </c>
      <c r="E17" s="232">
        <f>+C17/360</f>
        <v>2.0277777777777777</v>
      </c>
      <c r="F17" s="233">
        <f t="shared" si="0"/>
        <v>0.99997972232642751</v>
      </c>
      <c r="G17" s="228">
        <f>+F17/F16</f>
        <v>1.0003245556159002</v>
      </c>
      <c r="H17" s="228">
        <f>1/(E17-E16)</f>
        <v>0.98630136986301375</v>
      </c>
      <c r="I17" s="235">
        <f>(G17^H17)-1</f>
        <v>3.20108937038599E-4</v>
      </c>
      <c r="J17" s="236"/>
      <c r="K17" s="237"/>
      <c r="L17" s="228"/>
      <c r="M17" s="228"/>
      <c r="N17" s="228"/>
      <c r="O17" s="228"/>
    </row>
    <row r="18" spans="1:15" x14ac:dyDescent="0.35">
      <c r="A18" s="228"/>
      <c r="B18" s="228"/>
      <c r="C18" s="228"/>
      <c r="D18" s="233"/>
      <c r="E18" s="232"/>
      <c r="F18" s="233"/>
      <c r="G18" s="228"/>
      <c r="H18" s="228"/>
      <c r="I18" s="238"/>
      <c r="J18" s="236"/>
      <c r="K18" s="237"/>
      <c r="L18" s="228"/>
      <c r="M18" s="228"/>
      <c r="N18" s="228"/>
      <c r="O18" s="228"/>
    </row>
    <row r="19" spans="1:15" x14ac:dyDescent="0.35">
      <c r="A19" s="228"/>
      <c r="B19" s="228" t="s">
        <v>94</v>
      </c>
      <c r="C19" s="230">
        <v>365</v>
      </c>
      <c r="D19" s="231">
        <v>-3.2000000000000003E-4</v>
      </c>
      <c r="E19" s="232">
        <f>+C19/360</f>
        <v>1.0138888888888888</v>
      </c>
      <c r="F19" s="233">
        <f t="shared" si="0"/>
        <v>0.99967555627661908</v>
      </c>
      <c r="G19" s="228"/>
      <c r="H19" s="228"/>
      <c r="I19" s="238"/>
      <c r="J19" s="236"/>
      <c r="K19" s="237"/>
      <c r="L19" s="228"/>
      <c r="M19" s="228"/>
      <c r="N19" s="228"/>
      <c r="O19" s="228"/>
    </row>
    <row r="20" spans="1:15" x14ac:dyDescent="0.35">
      <c r="A20" s="228"/>
      <c r="B20" s="228" t="s">
        <v>95</v>
      </c>
      <c r="C20" s="230">
        <v>732</v>
      </c>
      <c r="D20" s="231">
        <v>-3.0000000000000001E-5</v>
      </c>
      <c r="E20" s="232">
        <f>+C20/360</f>
        <v>2.0333333333333332</v>
      </c>
      <c r="F20" s="233">
        <f t="shared" si="0"/>
        <v>0.9999390009454997</v>
      </c>
      <c r="G20" s="228">
        <f>+F20/F19</f>
        <v>1.0002635301695901</v>
      </c>
      <c r="H20" s="228">
        <f>1/(E20-E19)</f>
        <v>0.98092643051771122</v>
      </c>
      <c r="I20" s="235">
        <f>(G20^H20)-1</f>
        <v>2.5850305896857328E-4</v>
      </c>
      <c r="J20" s="236"/>
      <c r="K20" s="237"/>
      <c r="L20" s="228"/>
      <c r="M20" s="228"/>
      <c r="N20" s="228"/>
      <c r="O20" s="228"/>
    </row>
    <row r="21" spans="1:15" x14ac:dyDescent="0.35">
      <c r="A21" s="228"/>
      <c r="B21" s="228"/>
      <c r="C21" s="228"/>
      <c r="D21" s="228"/>
      <c r="E21" s="228"/>
      <c r="F21" s="228"/>
      <c r="G21" s="228"/>
      <c r="H21" s="228"/>
      <c r="I21" s="228"/>
      <c r="J21" s="228"/>
      <c r="K21" s="228"/>
      <c r="L21" s="228"/>
      <c r="M21" s="228"/>
      <c r="N21" s="228"/>
      <c r="O21" s="228"/>
    </row>
    <row r="22" spans="1:15" x14ac:dyDescent="0.35">
      <c r="A22" s="228"/>
      <c r="B22" s="228"/>
      <c r="C22" s="228"/>
      <c r="D22" s="228"/>
      <c r="E22" s="228"/>
      <c r="F22" s="228"/>
      <c r="G22" s="228"/>
      <c r="H22" s="228"/>
      <c r="I22" s="228"/>
      <c r="J22" s="228"/>
      <c r="K22" s="228"/>
      <c r="L22" s="228"/>
      <c r="M22" s="228"/>
      <c r="N22" s="228"/>
      <c r="O22" s="228"/>
    </row>
    <row r="23" spans="1:15" x14ac:dyDescent="0.35">
      <c r="A23" s="228"/>
      <c r="B23" s="228"/>
      <c r="C23" s="228"/>
      <c r="D23" s="228"/>
      <c r="E23" s="228"/>
      <c r="F23" s="228"/>
      <c r="G23" s="228"/>
      <c r="H23" s="228"/>
      <c r="I23" s="228"/>
      <c r="J23" s="228"/>
      <c r="K23" s="228"/>
      <c r="L23" s="228"/>
      <c r="M23" s="228"/>
      <c r="N23" s="228"/>
      <c r="O23" s="228"/>
    </row>
    <row r="24" spans="1:15" x14ac:dyDescent="0.35">
      <c r="A24" s="228"/>
      <c r="B24" s="228"/>
      <c r="C24" s="228"/>
      <c r="D24" s="228"/>
      <c r="E24" s="228"/>
      <c r="F24" s="228"/>
      <c r="G24" s="228"/>
      <c r="H24" s="228"/>
      <c r="I24" s="228"/>
      <c r="J24" s="228"/>
      <c r="K24" s="228"/>
      <c r="L24" s="228"/>
      <c r="M24" s="228"/>
      <c r="N24" s="228"/>
      <c r="O24" s="228"/>
    </row>
    <row r="25" spans="1:15" x14ac:dyDescent="0.35">
      <c r="A25" s="228"/>
      <c r="B25" s="228"/>
      <c r="C25" s="228"/>
      <c r="D25" s="228"/>
      <c r="E25" s="228"/>
      <c r="F25" s="228"/>
      <c r="G25" s="228"/>
      <c r="H25" s="228"/>
      <c r="I25" s="228"/>
      <c r="J25" s="228"/>
      <c r="K25" s="228"/>
      <c r="L25" s="228"/>
      <c r="M25" s="228"/>
      <c r="N25" s="228"/>
      <c r="O25" s="228"/>
    </row>
    <row r="26" spans="1:15" x14ac:dyDescent="0.35">
      <c r="A26" s="228"/>
      <c r="B26" s="228"/>
      <c r="C26" s="228"/>
      <c r="D26" s="228"/>
      <c r="E26" s="228"/>
      <c r="F26" s="228"/>
      <c r="G26" s="228"/>
      <c r="H26" s="228"/>
      <c r="I26" s="228"/>
      <c r="J26" s="228"/>
      <c r="K26" s="228"/>
      <c r="L26" s="228"/>
      <c r="M26" s="228"/>
      <c r="N26" s="228"/>
      <c r="O26" s="228"/>
    </row>
    <row r="27" spans="1:15" x14ac:dyDescent="0.35">
      <c r="A27" s="228"/>
      <c r="B27" s="228"/>
      <c r="C27" s="228"/>
      <c r="D27" s="228"/>
      <c r="E27" s="228"/>
      <c r="F27" s="228"/>
      <c r="G27" s="228"/>
      <c r="H27" s="228"/>
      <c r="I27" s="228"/>
      <c r="J27" s="228"/>
      <c r="K27" s="228"/>
      <c r="L27" s="228"/>
      <c r="M27" s="228"/>
      <c r="N27" s="228"/>
      <c r="O27" s="228"/>
    </row>
    <row r="28" spans="1:15" x14ac:dyDescent="0.35">
      <c r="A28" s="228"/>
      <c r="B28" s="228"/>
      <c r="C28" s="228"/>
      <c r="D28" s="228"/>
      <c r="E28" s="228"/>
      <c r="F28" s="228"/>
      <c r="G28" s="228"/>
      <c r="H28" s="228"/>
      <c r="I28" s="228"/>
      <c r="J28" s="228"/>
      <c r="K28" s="228"/>
      <c r="L28" s="228"/>
      <c r="M28" s="228"/>
      <c r="N28" s="228"/>
      <c r="O28" s="228"/>
    </row>
    <row r="29" spans="1:15" x14ac:dyDescent="0.35">
      <c r="A29" s="228"/>
      <c r="B29" s="228"/>
      <c r="C29" s="228"/>
      <c r="D29" s="228"/>
      <c r="E29" s="228"/>
      <c r="F29" s="228"/>
      <c r="G29" s="228"/>
      <c r="H29" s="228"/>
      <c r="I29" s="228"/>
      <c r="J29" s="228"/>
      <c r="K29" s="228"/>
      <c r="L29" s="228"/>
      <c r="M29" s="228"/>
      <c r="N29" s="228"/>
      <c r="O29" s="228"/>
    </row>
    <row r="30" spans="1:15" x14ac:dyDescent="0.35">
      <c r="A30" s="228"/>
      <c r="B30" s="228"/>
      <c r="C30" s="228"/>
      <c r="D30" s="228"/>
      <c r="E30" s="228"/>
      <c r="F30" s="228"/>
      <c r="G30" s="228"/>
      <c r="H30" s="228"/>
      <c r="I30" s="228"/>
      <c r="J30" s="228"/>
      <c r="K30" s="228"/>
      <c r="L30" s="228"/>
      <c r="M30" s="228"/>
      <c r="N30" s="228"/>
      <c r="O30" s="228"/>
    </row>
    <row r="31" spans="1:15" x14ac:dyDescent="0.35">
      <c r="A31" s="228"/>
      <c r="B31" s="228"/>
      <c r="C31" s="228"/>
      <c r="D31" s="228"/>
      <c r="E31" s="228"/>
      <c r="F31" s="228"/>
      <c r="G31" s="228"/>
      <c r="H31" s="228"/>
      <c r="I31" s="228"/>
      <c r="J31" s="228"/>
      <c r="K31" s="228"/>
      <c r="L31" s="228"/>
      <c r="M31" s="228"/>
      <c r="N31" s="228"/>
      <c r="O31" s="228"/>
    </row>
    <row r="32" spans="1:15" x14ac:dyDescent="0.35">
      <c r="A32" s="228"/>
      <c r="B32" s="228"/>
      <c r="C32" s="228"/>
      <c r="D32" s="228"/>
      <c r="E32" s="228"/>
      <c r="F32" s="228"/>
      <c r="G32" s="228"/>
      <c r="H32" s="228"/>
      <c r="I32" s="228"/>
      <c r="J32" s="228"/>
      <c r="K32" s="228"/>
      <c r="L32" s="228"/>
      <c r="M32" s="228"/>
      <c r="N32" s="228"/>
      <c r="O32" s="228"/>
    </row>
    <row r="33" spans="1:15" x14ac:dyDescent="0.35">
      <c r="A33" s="228"/>
      <c r="B33" s="228"/>
      <c r="C33" s="228"/>
      <c r="D33" s="228"/>
      <c r="E33" s="228"/>
      <c r="F33" s="228"/>
      <c r="G33" s="228"/>
      <c r="H33" s="228"/>
      <c r="I33" s="228"/>
      <c r="J33" s="228"/>
      <c r="K33" s="228"/>
      <c r="L33" s="228"/>
      <c r="M33" s="228"/>
      <c r="N33" s="228"/>
      <c r="O33" s="228"/>
    </row>
    <row r="34" spans="1:15" x14ac:dyDescent="0.35">
      <c r="A34" s="228"/>
      <c r="B34" s="228"/>
      <c r="C34" s="228"/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</row>
    <row r="35" spans="1:15" x14ac:dyDescent="0.35">
      <c r="A35" s="228"/>
      <c r="B35" s="228"/>
      <c r="C35" s="228"/>
      <c r="D35" s="228"/>
      <c r="E35" s="228"/>
      <c r="F35" s="228"/>
      <c r="G35" s="228"/>
      <c r="H35" s="228"/>
      <c r="I35" s="228"/>
      <c r="J35" s="228"/>
      <c r="K35" s="228"/>
      <c r="L35" s="228"/>
      <c r="M35" s="228"/>
      <c r="N35" s="228"/>
      <c r="O35" s="228"/>
    </row>
    <row r="36" spans="1:15" x14ac:dyDescent="0.35">
      <c r="A36" s="228"/>
      <c r="B36" s="228"/>
      <c r="C36" s="228"/>
      <c r="D36" s="228"/>
      <c r="E36" s="228"/>
      <c r="F36" s="228"/>
      <c r="G36" s="228"/>
      <c r="H36" s="228"/>
      <c r="I36" s="228"/>
      <c r="J36" s="228"/>
      <c r="K36" s="228"/>
      <c r="L36" s="228"/>
      <c r="M36" s="228"/>
      <c r="N36" s="228"/>
      <c r="O36" s="228"/>
    </row>
    <row r="37" spans="1:15" x14ac:dyDescent="0.35">
      <c r="A37" s="228"/>
      <c r="B37" s="228"/>
      <c r="C37" s="228"/>
      <c r="D37" s="228"/>
      <c r="E37" s="228"/>
      <c r="F37" s="228"/>
      <c r="G37" s="228"/>
      <c r="H37" s="228"/>
      <c r="I37" s="228"/>
      <c r="J37" s="228"/>
      <c r="K37" s="228"/>
      <c r="L37" s="228"/>
      <c r="M37" s="228"/>
      <c r="N37" s="228"/>
      <c r="O37" s="2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388097" r:id="rId3">
          <objectPr defaultSize="0" autoPict="0" r:id="rId4">
            <anchor moveWithCells="1">
              <from>
                <xdr:col>2</xdr:col>
                <xdr:colOff>0</xdr:colOff>
                <xdr:row>22</xdr:row>
                <xdr:rowOff>88900</xdr:rowOff>
              </from>
              <to>
                <xdr:col>11</xdr:col>
                <xdr:colOff>222250</xdr:colOff>
                <xdr:row>26</xdr:row>
                <xdr:rowOff>88900</xdr:rowOff>
              </to>
            </anchor>
          </objectPr>
        </oleObject>
      </mc:Choice>
      <mc:Fallback>
        <oleObject progId="Equation.3" shapeId="388097" r:id="rId3"/>
      </mc:Fallback>
    </mc:AlternateContent>
    <mc:AlternateContent xmlns:mc="http://schemas.openxmlformats.org/markup-compatibility/2006">
      <mc:Choice Requires="x14">
        <oleObject progId="Equation.3" shapeId="388098" r:id="rId5">
          <objectPr defaultSize="0" autoPict="0" r:id="rId6">
            <anchor moveWithCells="1">
              <from>
                <xdr:col>2</xdr:col>
                <xdr:colOff>0</xdr:colOff>
                <xdr:row>26</xdr:row>
                <xdr:rowOff>165100</xdr:rowOff>
              </from>
              <to>
                <xdr:col>11</xdr:col>
                <xdr:colOff>222250</xdr:colOff>
                <xdr:row>30</xdr:row>
                <xdr:rowOff>165100</xdr:rowOff>
              </to>
            </anchor>
          </objectPr>
        </oleObject>
      </mc:Choice>
      <mc:Fallback>
        <oleObject progId="Equation.3" shapeId="388098" r:id="rId5"/>
      </mc:Fallback>
    </mc:AlternateContent>
    <mc:AlternateContent xmlns:mc="http://schemas.openxmlformats.org/markup-compatibility/2006">
      <mc:Choice Requires="x14">
        <oleObject progId="Equation.3" shapeId="388099" r:id="rId7">
          <objectPr defaultSize="0" autoPict="0" r:id="rId8">
            <anchor moveWithCells="1">
              <from>
                <xdr:col>2</xdr:col>
                <xdr:colOff>0</xdr:colOff>
                <xdr:row>31</xdr:row>
                <xdr:rowOff>165100</xdr:rowOff>
              </from>
              <to>
                <xdr:col>11</xdr:col>
                <xdr:colOff>222250</xdr:colOff>
                <xdr:row>35</xdr:row>
                <xdr:rowOff>165100</xdr:rowOff>
              </to>
            </anchor>
          </objectPr>
        </oleObject>
      </mc:Choice>
      <mc:Fallback>
        <oleObject progId="Equation.3" shapeId="388099" r:id="rId7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O97"/>
  <sheetViews>
    <sheetView workbookViewId="0">
      <selection activeCell="N32" sqref="N32"/>
    </sheetView>
  </sheetViews>
  <sheetFormatPr defaultRowHeight="14.5" x14ac:dyDescent="0.35"/>
  <cols>
    <col min="1" max="256" width="11.54296875" customWidth="1"/>
  </cols>
  <sheetData>
    <row r="1" spans="1:15" x14ac:dyDescent="0.35">
      <c r="A1" s="228"/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</row>
    <row r="2" spans="1:15" x14ac:dyDescent="0.35">
      <c r="A2" s="228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</row>
    <row r="3" spans="1:15" x14ac:dyDescent="0.35">
      <c r="A3" s="228"/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</row>
    <row r="4" spans="1:15" x14ac:dyDescent="0.35">
      <c r="A4" s="228"/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</row>
    <row r="5" spans="1:15" x14ac:dyDescent="0.35">
      <c r="A5" s="228"/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</row>
    <row r="6" spans="1:15" x14ac:dyDescent="0.35">
      <c r="A6" s="228"/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</row>
    <row r="7" spans="1:15" x14ac:dyDescent="0.35">
      <c r="A7" s="228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</row>
    <row r="8" spans="1:15" x14ac:dyDescent="0.35">
      <c r="A8" s="228"/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</row>
    <row r="9" spans="1:15" x14ac:dyDescent="0.35">
      <c r="A9" s="228"/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</row>
    <row r="10" spans="1:15" x14ac:dyDescent="0.35">
      <c r="A10" s="228"/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</row>
    <row r="11" spans="1:15" x14ac:dyDescent="0.35">
      <c r="A11" s="228"/>
      <c r="B11" s="228"/>
      <c r="C11" s="228"/>
      <c r="D11" s="228"/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</row>
    <row r="12" spans="1:15" x14ac:dyDescent="0.35">
      <c r="A12" s="228"/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</row>
    <row r="13" spans="1:15" x14ac:dyDescent="0.35">
      <c r="A13" s="228"/>
      <c r="B13" s="229" t="s">
        <v>86</v>
      </c>
      <c r="C13" s="229" t="s">
        <v>87</v>
      </c>
      <c r="D13" s="229" t="s">
        <v>88</v>
      </c>
      <c r="E13" s="229" t="s">
        <v>89</v>
      </c>
      <c r="F13" s="229" t="s">
        <v>96</v>
      </c>
      <c r="G13" s="229" t="s">
        <v>97</v>
      </c>
      <c r="H13" s="229" t="s">
        <v>93</v>
      </c>
      <c r="I13" s="228"/>
      <c r="J13" s="228"/>
      <c r="K13" s="228"/>
      <c r="L13" s="228"/>
      <c r="M13" s="228"/>
      <c r="N13" s="228"/>
      <c r="O13" s="228"/>
    </row>
    <row r="14" spans="1:15" x14ac:dyDescent="0.35">
      <c r="A14" s="228"/>
      <c r="B14" s="228" t="s">
        <v>94</v>
      </c>
      <c r="C14" s="230">
        <v>92</v>
      </c>
      <c r="D14" s="231">
        <v>-1.1199999999999999E-3</v>
      </c>
      <c r="E14" s="232">
        <f>+C14/360</f>
        <v>0.25555555555555554</v>
      </c>
      <c r="F14" s="233">
        <f>1+D14*E14</f>
        <v>0.99971377777777781</v>
      </c>
      <c r="G14" s="234"/>
      <c r="H14" s="228"/>
      <c r="I14" s="228"/>
      <c r="J14" s="228"/>
      <c r="K14" s="228"/>
      <c r="L14" s="228"/>
      <c r="M14" s="228"/>
      <c r="N14" s="228"/>
      <c r="O14" s="228"/>
    </row>
    <row r="15" spans="1:15" x14ac:dyDescent="0.35">
      <c r="A15" s="228"/>
      <c r="B15" s="228" t="s">
        <v>95</v>
      </c>
      <c r="C15" s="230">
        <v>184</v>
      </c>
      <c r="D15" s="231">
        <v>-7.5000000000000002E-4</v>
      </c>
      <c r="E15" s="232">
        <f>+C15/360</f>
        <v>0.51111111111111107</v>
      </c>
      <c r="F15" s="233">
        <f t="shared" ref="F15:F21" si="0">1+D15*E15</f>
        <v>0.99961666666666671</v>
      </c>
      <c r="G15" s="228">
        <f>(F15/F14)-1</f>
        <v>-9.713891442708622E-5</v>
      </c>
      <c r="H15" s="239">
        <f>+G15*360/(C15-C14)</f>
        <v>-3.8010879558425043E-4</v>
      </c>
      <c r="I15" s="228"/>
      <c r="J15" s="236"/>
      <c r="K15" s="237"/>
      <c r="L15" s="228"/>
      <c r="M15" s="228"/>
      <c r="N15" s="228"/>
      <c r="O15" s="228"/>
    </row>
    <row r="16" spans="1:15" x14ac:dyDescent="0.35">
      <c r="A16" s="228"/>
      <c r="B16" s="228"/>
      <c r="C16" s="228"/>
      <c r="D16" s="228"/>
      <c r="E16" s="232"/>
      <c r="F16" s="228"/>
      <c r="G16" s="228"/>
      <c r="H16" s="234"/>
      <c r="I16" s="228"/>
      <c r="J16" s="236"/>
      <c r="K16" s="237"/>
      <c r="L16" s="228"/>
      <c r="M16" s="228"/>
      <c r="N16" s="228"/>
      <c r="O16" s="228"/>
    </row>
    <row r="17" spans="1:15" x14ac:dyDescent="0.35">
      <c r="A17" s="228"/>
      <c r="B17" s="228" t="s">
        <v>94</v>
      </c>
      <c r="C17" s="230">
        <v>90</v>
      </c>
      <c r="D17" s="231">
        <v>-1E-3</v>
      </c>
      <c r="E17" s="232">
        <f>+C17/360</f>
        <v>0.25</v>
      </c>
      <c r="F17" s="233">
        <f t="shared" si="0"/>
        <v>0.99975000000000003</v>
      </c>
      <c r="G17" s="228"/>
      <c r="H17" s="234"/>
      <c r="I17" s="228"/>
      <c r="J17" s="236"/>
      <c r="K17" s="237"/>
      <c r="L17" s="228"/>
      <c r="M17" s="228"/>
      <c r="N17" s="228"/>
      <c r="O17" s="228"/>
    </row>
    <row r="18" spans="1:15" x14ac:dyDescent="0.35">
      <c r="A18" s="228"/>
      <c r="B18" s="228" t="s">
        <v>95</v>
      </c>
      <c r="C18" s="230">
        <v>180</v>
      </c>
      <c r="D18" s="231">
        <v>-8.0000000000000004E-4</v>
      </c>
      <c r="E18" s="232">
        <f>+C18/360</f>
        <v>0.5</v>
      </c>
      <c r="F18" s="233">
        <f t="shared" si="0"/>
        <v>0.99960000000000004</v>
      </c>
      <c r="G18" s="228">
        <f>(F18/F17)-1</f>
        <v>-1.5003750937736537E-4</v>
      </c>
      <c r="H18" s="239">
        <f>+G18*360/(C18-C17)</f>
        <v>-6.001500375094615E-4</v>
      </c>
      <c r="I18" s="228"/>
      <c r="J18" s="236"/>
      <c r="K18" s="237"/>
      <c r="L18" s="228"/>
      <c r="M18" s="228"/>
      <c r="N18" s="228"/>
      <c r="O18" s="228"/>
    </row>
    <row r="19" spans="1:15" x14ac:dyDescent="0.35">
      <c r="A19" s="228"/>
      <c r="B19" s="228"/>
      <c r="C19" s="228"/>
      <c r="D19" s="228"/>
      <c r="E19" s="232"/>
      <c r="F19" s="233"/>
      <c r="G19" s="228"/>
      <c r="H19" s="234"/>
      <c r="I19" s="228"/>
      <c r="J19" s="236"/>
      <c r="K19" s="237"/>
      <c r="L19" s="228"/>
      <c r="M19" s="228"/>
      <c r="N19" s="228"/>
      <c r="O19" s="228"/>
    </row>
    <row r="20" spans="1:15" x14ac:dyDescent="0.35">
      <c r="A20" s="228"/>
      <c r="B20" s="228" t="s">
        <v>94</v>
      </c>
      <c r="C20" s="230">
        <v>91</v>
      </c>
      <c r="D20" s="231">
        <v>-1.1000000000000001E-3</v>
      </c>
      <c r="E20" s="232">
        <f>+C20/360</f>
        <v>0.25277777777777777</v>
      </c>
      <c r="F20" s="233">
        <f t="shared" si="0"/>
        <v>0.9997219444444444</v>
      </c>
      <c r="G20" s="228"/>
      <c r="H20" s="234"/>
      <c r="I20" s="228"/>
      <c r="J20" s="236"/>
      <c r="K20" s="237"/>
      <c r="L20" s="228"/>
      <c r="M20" s="228"/>
      <c r="N20" s="228"/>
      <c r="O20" s="228"/>
    </row>
    <row r="21" spans="1:15" x14ac:dyDescent="0.35">
      <c r="A21" s="228"/>
      <c r="B21" s="228" t="s">
        <v>95</v>
      </c>
      <c r="C21" s="230">
        <v>182</v>
      </c>
      <c r="D21" s="231">
        <v>-7.7999999999999999E-4</v>
      </c>
      <c r="E21" s="232">
        <f>+C21/360</f>
        <v>0.50555555555555554</v>
      </c>
      <c r="F21" s="233">
        <f t="shared" si="0"/>
        <v>0.99960566666666661</v>
      </c>
      <c r="G21" s="228">
        <f>(F21/F20)-1</f>
        <v>-1.1631011845236738E-4</v>
      </c>
      <c r="H21" s="239">
        <f>+G21*360/(C21-C20)</f>
        <v>-4.601279411302446E-4</v>
      </c>
      <c r="I21" s="228"/>
      <c r="J21" s="236"/>
      <c r="K21" s="237"/>
      <c r="L21" s="228"/>
      <c r="M21" s="228"/>
      <c r="N21" s="228"/>
      <c r="O21" s="228"/>
    </row>
    <row r="22" spans="1:15" x14ac:dyDescent="0.35">
      <c r="A22" s="228"/>
      <c r="B22" s="228"/>
      <c r="C22" s="228"/>
      <c r="D22" s="228"/>
      <c r="E22" s="228"/>
      <c r="F22" s="228"/>
      <c r="G22" s="228"/>
      <c r="H22" s="228"/>
      <c r="I22" s="228"/>
      <c r="J22" s="228"/>
      <c r="K22" s="228"/>
      <c r="L22" s="228"/>
      <c r="M22" s="228"/>
      <c r="N22" s="228"/>
      <c r="O22" s="228"/>
    </row>
    <row r="23" spans="1:15" x14ac:dyDescent="0.35">
      <c r="A23" s="228"/>
      <c r="B23" s="228"/>
      <c r="C23" s="228"/>
      <c r="D23" s="228"/>
      <c r="E23" s="228"/>
      <c r="F23" s="228"/>
      <c r="G23" s="228"/>
      <c r="H23" s="228"/>
      <c r="I23" s="228"/>
      <c r="J23" s="228"/>
      <c r="K23" s="228"/>
      <c r="L23" s="228"/>
      <c r="M23" s="228"/>
      <c r="N23" s="228"/>
      <c r="O23" s="228"/>
    </row>
    <row r="24" spans="1:15" x14ac:dyDescent="0.35">
      <c r="A24" s="228"/>
      <c r="B24" s="228"/>
      <c r="C24" s="228"/>
      <c r="D24" s="228"/>
      <c r="E24" s="228"/>
      <c r="F24" s="228"/>
      <c r="G24" s="228"/>
      <c r="H24" s="228"/>
      <c r="I24" s="228"/>
      <c r="J24" s="228"/>
      <c r="K24" s="228"/>
      <c r="L24" s="228"/>
      <c r="M24" s="228"/>
      <c r="N24" s="228"/>
      <c r="O24" s="228"/>
    </row>
    <row r="25" spans="1:15" x14ac:dyDescent="0.35">
      <c r="A25" s="228"/>
      <c r="B25" s="228"/>
      <c r="C25" s="228"/>
      <c r="D25" s="228"/>
      <c r="E25" s="228"/>
      <c r="F25" s="228"/>
      <c r="G25" s="228"/>
      <c r="H25" s="228"/>
      <c r="I25" s="228"/>
      <c r="J25" s="228"/>
      <c r="K25" s="228"/>
      <c r="L25" s="228"/>
      <c r="M25" s="228"/>
      <c r="N25" s="228"/>
      <c r="O25" s="228"/>
    </row>
    <row r="26" spans="1:15" x14ac:dyDescent="0.35">
      <c r="A26" s="228"/>
      <c r="B26" s="228"/>
      <c r="C26" s="228"/>
      <c r="D26" s="228"/>
      <c r="E26" s="228"/>
      <c r="F26" s="228"/>
      <c r="G26" s="228"/>
      <c r="H26" s="228"/>
      <c r="I26" s="228"/>
      <c r="J26" s="228"/>
      <c r="K26" s="228"/>
      <c r="L26" s="228"/>
      <c r="M26" s="228"/>
      <c r="N26" s="228"/>
      <c r="O26" s="228"/>
    </row>
    <row r="27" spans="1:15" x14ac:dyDescent="0.35">
      <c r="A27" s="228"/>
      <c r="B27" s="228"/>
      <c r="C27" s="228"/>
      <c r="D27" s="228"/>
      <c r="E27" s="228"/>
      <c r="F27" s="228"/>
      <c r="G27" s="228"/>
      <c r="H27" s="228"/>
      <c r="I27" s="228"/>
      <c r="J27" s="228"/>
      <c r="K27" s="228"/>
      <c r="L27" s="228"/>
      <c r="M27" s="228"/>
      <c r="N27" s="228"/>
      <c r="O27" s="228"/>
    </row>
    <row r="28" spans="1:15" x14ac:dyDescent="0.35">
      <c r="A28" s="228"/>
      <c r="B28" s="228"/>
      <c r="C28" s="228"/>
      <c r="D28" s="228"/>
      <c r="E28" s="228"/>
      <c r="F28" s="228"/>
      <c r="G28" s="228"/>
      <c r="H28" s="228"/>
      <c r="I28" s="228"/>
      <c r="J28" s="228"/>
      <c r="K28" s="228"/>
      <c r="L28" s="228"/>
      <c r="M28" s="228"/>
      <c r="N28" s="228"/>
      <c r="O28" s="228"/>
    </row>
    <row r="29" spans="1:15" x14ac:dyDescent="0.35">
      <c r="A29" s="228"/>
      <c r="B29" s="228"/>
      <c r="C29" s="228"/>
      <c r="D29" s="228"/>
      <c r="E29" s="228"/>
      <c r="F29" s="228"/>
      <c r="G29" s="228"/>
      <c r="H29" s="228"/>
      <c r="I29" s="228"/>
      <c r="J29" s="228"/>
      <c r="K29" s="228"/>
      <c r="L29" s="228"/>
      <c r="M29" s="228"/>
      <c r="N29" s="228"/>
      <c r="O29" s="228"/>
    </row>
    <row r="30" spans="1:15" x14ac:dyDescent="0.35">
      <c r="A30" s="228"/>
      <c r="B30" s="228"/>
      <c r="C30" s="228"/>
      <c r="D30" s="228"/>
      <c r="E30" s="228"/>
      <c r="F30" s="228"/>
      <c r="G30" s="228"/>
      <c r="H30" s="228"/>
      <c r="I30" s="228"/>
      <c r="J30" s="228"/>
      <c r="K30" s="228"/>
      <c r="L30" s="228"/>
      <c r="M30" s="228"/>
      <c r="N30" s="228"/>
      <c r="O30" s="228"/>
    </row>
    <row r="31" spans="1:15" x14ac:dyDescent="0.35">
      <c r="A31" s="228"/>
      <c r="B31" s="228"/>
      <c r="C31" s="228"/>
      <c r="D31" s="228"/>
      <c r="E31" s="228"/>
      <c r="F31" s="228"/>
      <c r="G31" s="228"/>
      <c r="H31" s="228"/>
      <c r="I31" s="228"/>
      <c r="J31" s="228"/>
      <c r="K31" s="228"/>
      <c r="L31" s="228"/>
      <c r="M31" s="228"/>
      <c r="N31" s="228"/>
      <c r="O31" s="228"/>
    </row>
    <row r="32" spans="1:15" x14ac:dyDescent="0.35">
      <c r="A32" s="228"/>
      <c r="B32" s="228"/>
      <c r="C32" s="228"/>
      <c r="D32" s="228"/>
      <c r="E32" s="228"/>
      <c r="F32" s="228"/>
      <c r="G32" s="228"/>
      <c r="H32" s="228"/>
      <c r="I32" s="228"/>
      <c r="J32" s="228"/>
      <c r="K32" s="228"/>
      <c r="L32" s="228"/>
      <c r="M32" s="228"/>
      <c r="N32" s="228"/>
      <c r="O32" s="228"/>
    </row>
    <row r="33" spans="1:15" x14ac:dyDescent="0.35">
      <c r="A33" s="228"/>
      <c r="B33" s="228"/>
      <c r="C33" s="228"/>
      <c r="D33" s="228"/>
      <c r="E33" s="228"/>
      <c r="F33" s="228"/>
      <c r="G33" s="228"/>
      <c r="H33" s="228"/>
      <c r="I33" s="228"/>
      <c r="J33" s="228"/>
      <c r="K33" s="228"/>
      <c r="L33" s="228"/>
      <c r="M33" s="228"/>
      <c r="N33" s="228"/>
      <c r="O33" s="228"/>
    </row>
    <row r="34" spans="1:15" x14ac:dyDescent="0.35">
      <c r="A34" s="228"/>
      <c r="B34" s="228"/>
      <c r="C34" s="228"/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</row>
    <row r="35" spans="1:15" x14ac:dyDescent="0.35">
      <c r="A35" s="228"/>
      <c r="B35" s="228"/>
      <c r="C35" s="228"/>
      <c r="D35" s="228"/>
      <c r="E35" s="228"/>
      <c r="F35" s="228"/>
      <c r="G35" s="228"/>
      <c r="H35" s="228"/>
      <c r="I35" s="228"/>
      <c r="J35" s="228"/>
      <c r="K35" s="228"/>
      <c r="L35" s="228"/>
      <c r="M35" s="228"/>
      <c r="N35" s="228"/>
      <c r="O35" s="228"/>
    </row>
    <row r="36" spans="1:15" x14ac:dyDescent="0.35">
      <c r="A36" s="228"/>
      <c r="B36" s="228"/>
      <c r="C36" s="228"/>
      <c r="D36" s="228"/>
      <c r="E36" s="228"/>
      <c r="F36" s="228"/>
      <c r="G36" s="228"/>
      <c r="H36" s="228"/>
      <c r="I36" s="228"/>
      <c r="J36" s="228"/>
      <c r="K36" s="228"/>
      <c r="L36" s="228"/>
      <c r="M36" s="228"/>
      <c r="N36" s="228"/>
      <c r="O36" s="228"/>
    </row>
    <row r="37" spans="1:15" x14ac:dyDescent="0.35">
      <c r="A37" s="228"/>
      <c r="B37" s="228"/>
      <c r="C37" s="228"/>
      <c r="D37" s="228"/>
      <c r="E37" s="228"/>
      <c r="F37" s="228"/>
      <c r="G37" s="228"/>
      <c r="H37" s="228"/>
      <c r="I37" s="228"/>
      <c r="J37" s="228"/>
      <c r="K37" s="228"/>
      <c r="L37" s="228"/>
      <c r="M37" s="228"/>
      <c r="N37" s="228"/>
      <c r="O37" s="228"/>
    </row>
    <row r="38" spans="1:15" x14ac:dyDescent="0.35">
      <c r="A38" s="228"/>
      <c r="B38" s="228"/>
      <c r="C38" s="228"/>
      <c r="D38" s="228"/>
      <c r="E38" s="228"/>
      <c r="F38" s="228"/>
      <c r="G38" s="228"/>
      <c r="H38" s="228"/>
      <c r="I38" s="228"/>
      <c r="J38" s="228"/>
      <c r="K38" s="228"/>
      <c r="L38" s="228"/>
      <c r="M38" s="228"/>
      <c r="N38" s="228"/>
      <c r="O38" s="228"/>
    </row>
    <row r="39" spans="1:15" x14ac:dyDescent="0.35">
      <c r="A39" s="228"/>
      <c r="B39" s="228"/>
      <c r="C39" s="228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228"/>
      <c r="O39" s="228"/>
    </row>
    <row r="40" spans="1:15" x14ac:dyDescent="0.35">
      <c r="A40" s="228"/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8"/>
    </row>
    <row r="41" spans="1:15" x14ac:dyDescent="0.35">
      <c r="A41" s="228"/>
      <c r="B41" s="228"/>
      <c r="C41" s="228"/>
      <c r="D41" s="228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</row>
    <row r="42" spans="1:15" x14ac:dyDescent="0.35">
      <c r="A42" s="228"/>
      <c r="B42" s="228"/>
      <c r="C42" s="228"/>
      <c r="D42" s="228"/>
      <c r="E42" s="228"/>
      <c r="F42" s="228"/>
      <c r="G42" s="228"/>
      <c r="H42" s="228"/>
      <c r="I42" s="228"/>
      <c r="J42" s="228"/>
      <c r="K42" s="228"/>
      <c r="L42" s="228"/>
      <c r="M42" s="228"/>
      <c r="N42" s="228"/>
      <c r="O42" s="228"/>
    </row>
    <row r="43" spans="1:15" x14ac:dyDescent="0.35">
      <c r="A43" s="228"/>
      <c r="B43" s="228"/>
      <c r="C43" s="228"/>
      <c r="D43" s="228"/>
      <c r="E43" s="228"/>
      <c r="F43" s="228"/>
      <c r="G43" s="228"/>
      <c r="H43" s="228"/>
      <c r="I43" s="228"/>
      <c r="J43" s="228"/>
      <c r="K43" s="228"/>
      <c r="L43" s="228"/>
      <c r="M43" s="228"/>
      <c r="N43" s="228"/>
      <c r="O43" s="228"/>
    </row>
    <row r="44" spans="1:15" x14ac:dyDescent="0.35">
      <c r="A44" s="228"/>
      <c r="B44" s="228"/>
      <c r="C44" s="228"/>
      <c r="D44" s="228"/>
      <c r="E44" s="228"/>
      <c r="F44" s="228"/>
      <c r="G44" s="228"/>
      <c r="H44" s="228"/>
      <c r="I44" s="228"/>
      <c r="J44" s="228"/>
      <c r="K44" s="228"/>
      <c r="L44" s="228"/>
      <c r="M44" s="228"/>
      <c r="N44" s="228"/>
      <c r="O44" s="228"/>
    </row>
    <row r="45" spans="1:15" x14ac:dyDescent="0.35">
      <c r="A45" s="228"/>
      <c r="B45" s="228"/>
      <c r="C45" s="228"/>
      <c r="D45" s="228"/>
      <c r="E45" s="228"/>
      <c r="F45" s="228"/>
      <c r="G45" s="228"/>
      <c r="H45" s="228"/>
      <c r="I45" s="228"/>
      <c r="J45" s="228"/>
      <c r="K45" s="228"/>
      <c r="L45" s="228"/>
      <c r="M45" s="228"/>
      <c r="N45" s="228"/>
      <c r="O45" s="228"/>
    </row>
    <row r="46" spans="1:15" x14ac:dyDescent="0.35">
      <c r="A46" s="228"/>
      <c r="B46" s="228"/>
      <c r="C46" s="228"/>
      <c r="D46" s="228"/>
      <c r="E46" s="228"/>
      <c r="F46" s="228"/>
      <c r="G46" s="228"/>
      <c r="H46" s="228"/>
      <c r="I46" s="228"/>
      <c r="J46" s="228"/>
      <c r="K46" s="228"/>
      <c r="L46" s="228"/>
      <c r="M46" s="228"/>
      <c r="N46" s="228"/>
      <c r="O46" s="228"/>
    </row>
    <row r="47" spans="1:15" x14ac:dyDescent="0.35">
      <c r="A47" s="228"/>
      <c r="B47" s="228"/>
      <c r="C47" s="228"/>
      <c r="D47" s="228"/>
      <c r="E47" s="228"/>
      <c r="F47" s="228"/>
      <c r="G47" s="228"/>
      <c r="H47" s="228"/>
      <c r="I47" s="228"/>
      <c r="J47" s="228"/>
      <c r="K47" s="228"/>
      <c r="L47" s="228"/>
      <c r="M47" s="228"/>
      <c r="N47" s="228"/>
      <c r="O47" s="228"/>
    </row>
    <row r="48" spans="1:15" x14ac:dyDescent="0.35">
      <c r="A48" s="228"/>
      <c r="B48" s="228"/>
      <c r="C48" s="228"/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</row>
    <row r="49" spans="1:15" x14ac:dyDescent="0.35">
      <c r="A49" s="228"/>
      <c r="B49" s="228"/>
      <c r="C49" s="228"/>
      <c r="D49" s="228"/>
      <c r="E49" s="228"/>
      <c r="F49" s="228"/>
      <c r="G49" s="228"/>
      <c r="H49" s="228"/>
      <c r="I49" s="228"/>
      <c r="J49" s="228"/>
      <c r="K49" s="228"/>
      <c r="L49" s="228"/>
      <c r="M49" s="228"/>
      <c r="N49" s="228"/>
      <c r="O49" s="228"/>
    </row>
    <row r="50" spans="1:15" x14ac:dyDescent="0.35">
      <c r="A50" s="228"/>
      <c r="B50" s="228"/>
      <c r="C50" s="228"/>
      <c r="D50" s="228"/>
      <c r="E50" s="228"/>
      <c r="F50" s="228"/>
      <c r="G50" s="228"/>
      <c r="H50" s="228"/>
      <c r="I50" s="228"/>
      <c r="J50" s="228"/>
      <c r="K50" s="228"/>
      <c r="L50" s="228"/>
      <c r="M50" s="228"/>
      <c r="N50" s="228"/>
      <c r="O50" s="228"/>
    </row>
    <row r="51" spans="1:15" x14ac:dyDescent="0.35">
      <c r="A51" s="228"/>
      <c r="B51" s="228"/>
      <c r="C51" s="228"/>
      <c r="D51" s="228"/>
      <c r="E51" s="228"/>
      <c r="F51" s="228"/>
      <c r="G51" s="228"/>
      <c r="H51" s="228"/>
      <c r="I51" s="228"/>
      <c r="J51" s="228"/>
      <c r="K51" s="228"/>
      <c r="L51" s="228"/>
      <c r="M51" s="228"/>
      <c r="N51" s="228"/>
      <c r="O51" s="228"/>
    </row>
    <row r="52" spans="1:15" x14ac:dyDescent="0.35">
      <c r="A52" s="228"/>
      <c r="B52" s="228"/>
      <c r="C52" s="228"/>
      <c r="D52" s="228"/>
      <c r="E52" s="228"/>
      <c r="F52" s="228"/>
      <c r="G52" s="228"/>
      <c r="H52" s="228"/>
      <c r="I52" s="228"/>
      <c r="J52" s="228"/>
      <c r="K52" s="228"/>
      <c r="L52" s="228"/>
      <c r="M52" s="228"/>
      <c r="N52" s="228"/>
      <c r="O52" s="228"/>
    </row>
    <row r="53" spans="1:15" x14ac:dyDescent="0.35">
      <c r="A53" s="228"/>
      <c r="B53" s="228"/>
      <c r="C53" s="228"/>
      <c r="D53" s="228"/>
      <c r="E53" s="228"/>
      <c r="F53" s="228"/>
      <c r="G53" s="228"/>
      <c r="H53" s="228"/>
      <c r="I53" s="228"/>
      <c r="J53" s="228"/>
      <c r="K53" s="228"/>
      <c r="L53" s="228"/>
      <c r="M53" s="228"/>
      <c r="N53" s="228"/>
      <c r="O53" s="228"/>
    </row>
    <row r="54" spans="1:15" x14ac:dyDescent="0.35">
      <c r="A54" s="228"/>
      <c r="B54" s="228"/>
      <c r="C54" s="228"/>
      <c r="D54" s="228"/>
      <c r="E54" s="228"/>
      <c r="F54" s="228"/>
      <c r="G54" s="228"/>
      <c r="H54" s="228"/>
      <c r="I54" s="228"/>
      <c r="J54" s="228"/>
      <c r="K54" s="228"/>
      <c r="L54" s="228"/>
      <c r="M54" s="228"/>
      <c r="N54" s="228"/>
      <c r="O54" s="228"/>
    </row>
    <row r="55" spans="1:15" x14ac:dyDescent="0.35">
      <c r="A55" s="228"/>
      <c r="B55" s="228"/>
      <c r="C55" s="228"/>
      <c r="D55" s="228"/>
      <c r="E55" s="228"/>
      <c r="F55" s="228"/>
      <c r="G55" s="228"/>
      <c r="H55" s="228"/>
      <c r="I55" s="228"/>
      <c r="J55" s="228"/>
      <c r="K55" s="228"/>
      <c r="L55" s="228"/>
      <c r="M55" s="228"/>
      <c r="N55" s="228"/>
      <c r="O55" s="228"/>
    </row>
    <row r="56" spans="1:15" x14ac:dyDescent="0.35">
      <c r="A56" s="228"/>
      <c r="B56" s="228"/>
      <c r="C56" s="228"/>
      <c r="D56" s="228"/>
      <c r="E56" s="228"/>
      <c r="F56" s="228"/>
      <c r="G56" s="228"/>
      <c r="H56" s="228"/>
      <c r="I56" s="228"/>
      <c r="J56" s="228"/>
      <c r="K56" s="228"/>
      <c r="L56" s="228"/>
      <c r="M56" s="228"/>
      <c r="N56" s="228"/>
      <c r="O56" s="228"/>
    </row>
    <row r="57" spans="1:15" x14ac:dyDescent="0.35">
      <c r="A57" s="228"/>
      <c r="B57" s="228"/>
      <c r="C57" s="228"/>
      <c r="D57" s="228"/>
      <c r="E57" s="228"/>
      <c r="F57" s="228"/>
      <c r="G57" s="228"/>
      <c r="H57" s="228"/>
      <c r="I57" s="228"/>
      <c r="J57" s="228"/>
      <c r="K57" s="228"/>
      <c r="L57" s="228"/>
      <c r="M57" s="228"/>
      <c r="N57" s="228"/>
      <c r="O57" s="228"/>
    </row>
    <row r="58" spans="1:15" x14ac:dyDescent="0.35">
      <c r="A58" s="228"/>
      <c r="B58" s="228"/>
      <c r="C58" s="228"/>
      <c r="D58" s="228"/>
      <c r="E58" s="228"/>
      <c r="F58" s="228"/>
      <c r="G58" s="228"/>
      <c r="H58" s="228"/>
      <c r="I58" s="228"/>
      <c r="J58" s="228"/>
      <c r="K58" s="228"/>
      <c r="L58" s="228"/>
      <c r="M58" s="228"/>
      <c r="N58" s="228"/>
      <c r="O58" s="228"/>
    </row>
    <row r="59" spans="1:15" x14ac:dyDescent="0.35">
      <c r="A59" s="228"/>
      <c r="B59" s="228"/>
      <c r="C59" s="228"/>
      <c r="D59" s="228"/>
      <c r="E59" s="228"/>
      <c r="F59" s="228"/>
      <c r="G59" s="228"/>
      <c r="H59" s="228"/>
      <c r="I59" s="228"/>
      <c r="J59" s="228"/>
      <c r="K59" s="228"/>
      <c r="L59" s="228"/>
      <c r="M59" s="228"/>
      <c r="N59" s="228"/>
      <c r="O59" s="228"/>
    </row>
    <row r="60" spans="1:15" x14ac:dyDescent="0.35">
      <c r="A60" s="228"/>
      <c r="B60" s="228"/>
      <c r="C60" s="228"/>
      <c r="D60" s="228"/>
      <c r="E60" s="228"/>
      <c r="F60" s="228"/>
      <c r="G60" s="228"/>
      <c r="H60" s="228"/>
      <c r="I60" s="228"/>
      <c r="J60" s="228"/>
      <c r="K60" s="228"/>
      <c r="L60" s="228"/>
      <c r="M60" s="228"/>
      <c r="N60" s="228"/>
      <c r="O60" s="228"/>
    </row>
    <row r="61" spans="1:15" x14ac:dyDescent="0.35">
      <c r="A61" s="228"/>
      <c r="B61" s="228"/>
      <c r="C61" s="228"/>
      <c r="D61" s="228"/>
      <c r="E61" s="228"/>
      <c r="F61" s="228"/>
      <c r="G61" s="228"/>
      <c r="H61" s="228"/>
      <c r="I61" s="228"/>
      <c r="J61" s="228"/>
      <c r="K61" s="228"/>
      <c r="L61" s="228"/>
      <c r="M61" s="228"/>
      <c r="N61" s="228"/>
      <c r="O61" s="228"/>
    </row>
    <row r="62" spans="1:15" x14ac:dyDescent="0.35">
      <c r="A62" s="228"/>
      <c r="B62" s="228"/>
      <c r="C62" s="228"/>
      <c r="D62" s="228"/>
      <c r="E62" s="228"/>
      <c r="F62" s="228"/>
      <c r="G62" s="228"/>
      <c r="H62" s="228"/>
      <c r="I62" s="228"/>
      <c r="J62" s="228"/>
      <c r="K62" s="228"/>
      <c r="L62" s="228"/>
      <c r="M62" s="228"/>
      <c r="N62" s="228"/>
      <c r="O62" s="228"/>
    </row>
    <row r="63" spans="1:15" x14ac:dyDescent="0.35">
      <c r="A63" s="228"/>
      <c r="B63" s="228"/>
      <c r="C63" s="228"/>
      <c r="D63" s="228"/>
      <c r="E63" s="228"/>
      <c r="F63" s="228"/>
      <c r="G63" s="228"/>
      <c r="H63" s="228"/>
      <c r="I63" s="228"/>
      <c r="J63" s="228"/>
      <c r="K63" s="228"/>
      <c r="L63" s="228"/>
      <c r="M63" s="228"/>
      <c r="N63" s="228"/>
      <c r="O63" s="228"/>
    </row>
    <row r="64" spans="1:15" x14ac:dyDescent="0.35">
      <c r="A64" s="228"/>
      <c r="B64" s="228"/>
      <c r="C64" s="228"/>
      <c r="D64" s="228"/>
      <c r="E64" s="228"/>
      <c r="F64" s="228"/>
      <c r="G64" s="228"/>
      <c r="H64" s="228"/>
      <c r="I64" s="228"/>
      <c r="J64" s="228"/>
      <c r="K64" s="228"/>
      <c r="L64" s="228"/>
      <c r="M64" s="228"/>
      <c r="N64" s="228"/>
      <c r="O64" s="228"/>
    </row>
    <row r="65" spans="1:15" x14ac:dyDescent="0.35">
      <c r="A65" s="228"/>
      <c r="B65" s="228"/>
      <c r="C65" s="228"/>
      <c r="D65" s="228"/>
      <c r="E65" s="228"/>
      <c r="F65" s="228"/>
      <c r="G65" s="228"/>
      <c r="H65" s="228"/>
      <c r="I65" s="228"/>
      <c r="J65" s="228"/>
      <c r="K65" s="228"/>
      <c r="L65" s="228"/>
      <c r="M65" s="228"/>
      <c r="N65" s="228"/>
      <c r="O65" s="228"/>
    </row>
    <row r="66" spans="1:15" x14ac:dyDescent="0.35">
      <c r="A66" s="228"/>
      <c r="B66" s="228"/>
      <c r="C66" s="228"/>
      <c r="D66" s="228"/>
      <c r="E66" s="228"/>
      <c r="F66" s="228"/>
      <c r="G66" s="228"/>
      <c r="H66" s="228"/>
      <c r="I66" s="228"/>
      <c r="J66" s="228"/>
      <c r="K66" s="228"/>
      <c r="L66" s="228"/>
      <c r="M66" s="228"/>
      <c r="N66" s="228"/>
      <c r="O66" s="228"/>
    </row>
    <row r="67" spans="1:15" x14ac:dyDescent="0.35">
      <c r="A67" s="228"/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8"/>
    </row>
    <row r="68" spans="1:15" x14ac:dyDescent="0.35">
      <c r="A68" s="228"/>
      <c r="B68" s="228"/>
      <c r="C68" s="228"/>
      <c r="D68" s="228"/>
      <c r="E68" s="228"/>
      <c r="F68" s="228"/>
      <c r="G68" s="228"/>
      <c r="H68" s="228"/>
      <c r="I68" s="228"/>
      <c r="J68" s="228"/>
      <c r="K68" s="228"/>
      <c r="L68" s="228"/>
      <c r="M68" s="228"/>
      <c r="N68" s="228"/>
      <c r="O68" s="228"/>
    </row>
    <row r="69" spans="1:15" x14ac:dyDescent="0.35">
      <c r="A69" s="228"/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</row>
    <row r="70" spans="1:15" x14ac:dyDescent="0.35">
      <c r="A70" s="228"/>
      <c r="B70" s="228"/>
      <c r="C70" s="228"/>
      <c r="D70" s="228"/>
      <c r="E70" s="228"/>
      <c r="F70" s="228"/>
      <c r="G70" s="228"/>
      <c r="H70" s="228"/>
      <c r="I70" s="228"/>
      <c r="J70" s="228"/>
      <c r="K70" s="228"/>
      <c r="L70" s="228"/>
      <c r="M70" s="228"/>
      <c r="N70" s="228"/>
      <c r="O70" s="228"/>
    </row>
    <row r="71" spans="1:15" x14ac:dyDescent="0.35">
      <c r="A71" s="228"/>
      <c r="B71" s="228"/>
      <c r="C71" s="228"/>
      <c r="D71" s="228"/>
      <c r="E71" s="228"/>
      <c r="F71" s="228"/>
      <c r="G71" s="228"/>
      <c r="H71" s="228"/>
      <c r="I71" s="228"/>
      <c r="J71" s="228"/>
      <c r="K71" s="228"/>
      <c r="L71" s="228"/>
      <c r="M71" s="228"/>
      <c r="N71" s="228"/>
      <c r="O71" s="228"/>
    </row>
    <row r="72" spans="1:15" x14ac:dyDescent="0.35">
      <c r="A72" s="228"/>
      <c r="B72" s="228"/>
      <c r="C72" s="228"/>
      <c r="D72" s="228"/>
      <c r="E72" s="228"/>
      <c r="F72" s="228"/>
      <c r="G72" s="228"/>
      <c r="H72" s="228"/>
      <c r="I72" s="228"/>
      <c r="J72" s="228"/>
      <c r="K72" s="228"/>
      <c r="L72" s="228"/>
      <c r="M72" s="228"/>
      <c r="N72" s="228"/>
      <c r="O72" s="228"/>
    </row>
    <row r="73" spans="1:15" x14ac:dyDescent="0.35">
      <c r="A73" s="228"/>
      <c r="B73" s="228"/>
      <c r="C73" s="228"/>
      <c r="D73" s="228"/>
      <c r="E73" s="228"/>
      <c r="F73" s="228"/>
      <c r="G73" s="228"/>
      <c r="H73" s="228"/>
      <c r="I73" s="228"/>
      <c r="J73" s="228"/>
      <c r="K73" s="228"/>
      <c r="L73" s="228"/>
      <c r="M73" s="228"/>
      <c r="N73" s="228"/>
      <c r="O73" s="228"/>
    </row>
    <row r="74" spans="1:15" x14ac:dyDescent="0.35">
      <c r="A74" s="228"/>
      <c r="B74" s="228"/>
      <c r="C74" s="228"/>
      <c r="D74" s="228"/>
      <c r="E74" s="228"/>
      <c r="F74" s="228"/>
      <c r="G74" s="228"/>
      <c r="H74" s="228"/>
      <c r="I74" s="228"/>
      <c r="J74" s="228"/>
      <c r="K74" s="228"/>
      <c r="L74" s="228"/>
      <c r="M74" s="228"/>
      <c r="N74" s="228"/>
      <c r="O74" s="228"/>
    </row>
    <row r="75" spans="1:15" x14ac:dyDescent="0.35">
      <c r="A75" s="228"/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</row>
    <row r="76" spans="1:15" x14ac:dyDescent="0.35">
      <c r="A76" s="228"/>
      <c r="B76" s="228"/>
      <c r="C76" s="228"/>
      <c r="D76" s="228"/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</row>
    <row r="77" spans="1:15" x14ac:dyDescent="0.35">
      <c r="A77" s="228"/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</row>
    <row r="78" spans="1:15" x14ac:dyDescent="0.35">
      <c r="A78" s="228"/>
      <c r="B78" s="228"/>
      <c r="C78" s="228"/>
      <c r="D78" s="228"/>
      <c r="E78" s="228"/>
      <c r="F78" s="228"/>
      <c r="G78" s="228"/>
      <c r="H78" s="228"/>
      <c r="I78" s="228"/>
      <c r="J78" s="228"/>
      <c r="K78" s="228"/>
      <c r="L78" s="228"/>
      <c r="M78" s="228"/>
      <c r="N78" s="228"/>
      <c r="O78" s="228"/>
    </row>
    <row r="79" spans="1:15" x14ac:dyDescent="0.35">
      <c r="A79" s="228"/>
      <c r="B79" s="228"/>
      <c r="C79" s="228"/>
      <c r="D79" s="228"/>
      <c r="E79" s="228"/>
      <c r="F79" s="228"/>
      <c r="G79" s="228"/>
      <c r="H79" s="228"/>
      <c r="I79" s="228"/>
      <c r="J79" s="228"/>
      <c r="K79" s="228"/>
      <c r="L79" s="228"/>
      <c r="M79" s="228"/>
      <c r="N79" s="228"/>
      <c r="O79" s="228"/>
    </row>
    <row r="80" spans="1:15" x14ac:dyDescent="0.35">
      <c r="A80" s="228"/>
      <c r="B80" s="228"/>
      <c r="C80" s="228"/>
      <c r="D80" s="228"/>
      <c r="E80" s="228"/>
      <c r="F80" s="228"/>
      <c r="G80" s="228"/>
      <c r="H80" s="228"/>
      <c r="I80" s="228"/>
      <c r="J80" s="228"/>
      <c r="K80" s="228"/>
      <c r="L80" s="228"/>
      <c r="M80" s="228"/>
      <c r="N80" s="228"/>
      <c r="O80" s="228"/>
    </row>
    <row r="81" spans="1:15" x14ac:dyDescent="0.35">
      <c r="A81" s="228"/>
      <c r="B81" s="228"/>
      <c r="C81" s="228"/>
      <c r="D81" s="228"/>
      <c r="E81" s="228"/>
      <c r="F81" s="228"/>
      <c r="G81" s="228"/>
      <c r="H81" s="228"/>
      <c r="I81" s="228"/>
      <c r="J81" s="228"/>
      <c r="K81" s="228"/>
      <c r="L81" s="228"/>
      <c r="M81" s="228"/>
      <c r="N81" s="228"/>
      <c r="O81" s="228"/>
    </row>
    <row r="82" spans="1:15" x14ac:dyDescent="0.35">
      <c r="A82" s="228"/>
      <c r="B82" s="228"/>
      <c r="C82" s="228"/>
      <c r="D82" s="228"/>
      <c r="E82" s="228"/>
      <c r="F82" s="228"/>
      <c r="G82" s="228"/>
      <c r="H82" s="228"/>
      <c r="I82" s="228"/>
      <c r="J82" s="228"/>
      <c r="K82" s="228"/>
      <c r="L82" s="228"/>
      <c r="M82" s="228"/>
      <c r="N82" s="228"/>
      <c r="O82" s="228"/>
    </row>
    <row r="83" spans="1:15" x14ac:dyDescent="0.35">
      <c r="A83" s="228"/>
      <c r="B83" s="228"/>
      <c r="C83" s="228"/>
      <c r="D83" s="228"/>
      <c r="E83" s="228"/>
      <c r="F83" s="228"/>
      <c r="G83" s="228"/>
      <c r="H83" s="228"/>
      <c r="I83" s="228"/>
      <c r="J83" s="228"/>
      <c r="K83" s="228"/>
      <c r="L83" s="228"/>
      <c r="M83" s="228"/>
      <c r="N83" s="228"/>
      <c r="O83" s="228"/>
    </row>
    <row r="84" spans="1:15" x14ac:dyDescent="0.35">
      <c r="A84" s="228"/>
      <c r="B84" s="228"/>
      <c r="C84" s="228"/>
      <c r="D84" s="228"/>
      <c r="E84" s="228"/>
      <c r="F84" s="228"/>
      <c r="G84" s="228"/>
      <c r="H84" s="228"/>
      <c r="I84" s="228"/>
      <c r="J84" s="228"/>
      <c r="K84" s="228"/>
      <c r="L84" s="228"/>
      <c r="M84" s="228"/>
      <c r="N84" s="228"/>
      <c r="O84" s="228"/>
    </row>
    <row r="85" spans="1:15" x14ac:dyDescent="0.35">
      <c r="A85" s="228"/>
      <c r="B85" s="228"/>
      <c r="C85" s="228"/>
      <c r="D85" s="228"/>
      <c r="E85" s="228"/>
      <c r="F85" s="228"/>
      <c r="G85" s="228"/>
      <c r="H85" s="228"/>
      <c r="I85" s="228"/>
      <c r="J85" s="228"/>
      <c r="K85" s="228"/>
      <c r="L85" s="228"/>
      <c r="M85" s="228"/>
      <c r="N85" s="228"/>
      <c r="O85" s="228"/>
    </row>
    <row r="86" spans="1:15" x14ac:dyDescent="0.35">
      <c r="A86" s="228"/>
      <c r="B86" s="228"/>
      <c r="C86" s="228"/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</row>
    <row r="87" spans="1:15" x14ac:dyDescent="0.35">
      <c r="A87" s="228"/>
      <c r="B87" s="228"/>
      <c r="C87" s="228"/>
      <c r="D87" s="228"/>
      <c r="E87" s="228"/>
      <c r="F87" s="228"/>
      <c r="G87" s="228"/>
      <c r="H87" s="228"/>
      <c r="I87" s="228"/>
      <c r="J87" s="228"/>
      <c r="K87" s="228"/>
      <c r="L87" s="228"/>
      <c r="M87" s="228"/>
      <c r="N87" s="228"/>
      <c r="O87" s="228"/>
    </row>
    <row r="88" spans="1:15" x14ac:dyDescent="0.35">
      <c r="A88" s="228"/>
      <c r="B88" s="228"/>
      <c r="C88" s="228"/>
      <c r="D88" s="228"/>
      <c r="E88" s="228"/>
      <c r="F88" s="228"/>
      <c r="G88" s="228"/>
      <c r="H88" s="228"/>
      <c r="I88" s="228"/>
      <c r="J88" s="228"/>
      <c r="K88" s="228"/>
      <c r="L88" s="228"/>
      <c r="M88" s="228"/>
      <c r="N88" s="228"/>
      <c r="O88" s="228"/>
    </row>
    <row r="89" spans="1:15" x14ac:dyDescent="0.35">
      <c r="A89" s="228"/>
      <c r="B89" s="228"/>
      <c r="C89" s="228"/>
      <c r="D89" s="228"/>
      <c r="E89" s="228"/>
      <c r="F89" s="228"/>
      <c r="G89" s="228"/>
      <c r="H89" s="228"/>
      <c r="I89" s="228"/>
      <c r="J89" s="228"/>
      <c r="K89" s="228"/>
      <c r="L89" s="228"/>
      <c r="M89" s="228"/>
      <c r="N89" s="228"/>
      <c r="O89" s="228"/>
    </row>
    <row r="90" spans="1:15" x14ac:dyDescent="0.35">
      <c r="A90" s="228"/>
      <c r="B90" s="228"/>
      <c r="C90" s="228"/>
      <c r="D90" s="228"/>
      <c r="E90" s="228"/>
      <c r="F90" s="228"/>
      <c r="G90" s="228"/>
      <c r="H90" s="228"/>
      <c r="I90" s="228"/>
      <c r="J90" s="228"/>
      <c r="K90" s="228"/>
      <c r="L90" s="228"/>
      <c r="M90" s="228"/>
      <c r="N90" s="228"/>
      <c r="O90" s="228"/>
    </row>
    <row r="91" spans="1:15" x14ac:dyDescent="0.35">
      <c r="A91" s="228"/>
      <c r="B91" s="228"/>
      <c r="C91" s="228"/>
      <c r="D91" s="228"/>
      <c r="E91" s="228"/>
      <c r="F91" s="228"/>
      <c r="G91" s="228"/>
      <c r="H91" s="228"/>
      <c r="I91" s="228"/>
      <c r="J91" s="228"/>
      <c r="K91" s="228"/>
      <c r="L91" s="228"/>
      <c r="M91" s="228"/>
      <c r="N91" s="228"/>
      <c r="O91" s="228"/>
    </row>
    <row r="92" spans="1:15" x14ac:dyDescent="0.35">
      <c r="A92" s="228"/>
      <c r="B92" s="228"/>
      <c r="C92" s="228"/>
      <c r="D92" s="228"/>
      <c r="E92" s="228"/>
      <c r="F92" s="228"/>
      <c r="G92" s="228"/>
      <c r="H92" s="228"/>
      <c r="I92" s="228"/>
      <c r="J92" s="228"/>
      <c r="K92" s="228"/>
      <c r="L92" s="228"/>
      <c r="M92" s="228"/>
      <c r="N92" s="228"/>
      <c r="O92" s="228"/>
    </row>
    <row r="93" spans="1:15" x14ac:dyDescent="0.35">
      <c r="A93" s="228"/>
      <c r="B93" s="228"/>
      <c r="C93" s="228"/>
      <c r="D93" s="228"/>
      <c r="E93" s="228"/>
      <c r="F93" s="228"/>
      <c r="G93" s="228"/>
      <c r="H93" s="228"/>
      <c r="I93" s="228"/>
      <c r="J93" s="228"/>
      <c r="K93" s="228"/>
      <c r="L93" s="228"/>
      <c r="M93" s="228"/>
      <c r="N93" s="228"/>
      <c r="O93" s="228"/>
    </row>
    <row r="94" spans="1:15" x14ac:dyDescent="0.35">
      <c r="A94" s="228"/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8"/>
    </row>
    <row r="95" spans="1:15" x14ac:dyDescent="0.35">
      <c r="A95" s="228"/>
      <c r="B95" s="228"/>
      <c r="C95" s="228"/>
      <c r="D95" s="228"/>
      <c r="E95" s="228"/>
      <c r="F95" s="228"/>
      <c r="G95" s="228"/>
      <c r="H95" s="228"/>
      <c r="I95" s="228"/>
      <c r="J95" s="228"/>
      <c r="K95" s="228"/>
      <c r="L95" s="228"/>
      <c r="M95" s="228"/>
      <c r="N95" s="228"/>
      <c r="O95" s="228"/>
    </row>
    <row r="96" spans="1:15" x14ac:dyDescent="0.35">
      <c r="A96" s="228"/>
      <c r="B96" s="228"/>
      <c r="C96" s="228"/>
      <c r="D96" s="228"/>
      <c r="E96" s="228"/>
      <c r="F96" s="228"/>
      <c r="G96" s="228"/>
      <c r="H96" s="228"/>
      <c r="I96" s="228"/>
      <c r="J96" s="228"/>
      <c r="K96" s="228"/>
      <c r="L96" s="228"/>
      <c r="M96" s="228"/>
      <c r="N96" s="228"/>
      <c r="O96" s="228"/>
    </row>
    <row r="97" spans="1:15" x14ac:dyDescent="0.35">
      <c r="A97" s="228"/>
      <c r="B97" s="228"/>
      <c r="C97" s="228"/>
      <c r="D97" s="228"/>
      <c r="E97" s="228"/>
      <c r="F97" s="228"/>
      <c r="G97" s="228"/>
      <c r="H97" s="228"/>
      <c r="I97" s="228"/>
      <c r="J97" s="228"/>
      <c r="K97" s="228"/>
      <c r="L97" s="228"/>
      <c r="M97" s="228"/>
      <c r="N97" s="228"/>
      <c r="O97" s="2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389121" r:id="rId3">
          <objectPr defaultSize="0" autoPict="0" r:id="rId4">
            <anchor moveWithCells="1">
              <from>
                <xdr:col>1</xdr:col>
                <xdr:colOff>812800</xdr:colOff>
                <xdr:row>23</xdr:row>
                <xdr:rowOff>50800</xdr:rowOff>
              </from>
              <to>
                <xdr:col>11</xdr:col>
                <xdr:colOff>196850</xdr:colOff>
                <xdr:row>27</xdr:row>
                <xdr:rowOff>50800</xdr:rowOff>
              </to>
            </anchor>
          </objectPr>
        </oleObject>
      </mc:Choice>
      <mc:Fallback>
        <oleObject progId="Equation.3" shapeId="389121" r:id="rId3"/>
      </mc:Fallback>
    </mc:AlternateContent>
    <mc:AlternateContent xmlns:mc="http://schemas.openxmlformats.org/markup-compatibility/2006">
      <mc:Choice Requires="x14">
        <oleObject progId="Equation.3" shapeId="389122" r:id="rId5">
          <objectPr defaultSize="0" autoPict="0" r:id="rId6">
            <anchor moveWithCells="1">
              <from>
                <xdr:col>1</xdr:col>
                <xdr:colOff>793750</xdr:colOff>
                <xdr:row>27</xdr:row>
                <xdr:rowOff>165100</xdr:rowOff>
              </from>
              <to>
                <xdr:col>11</xdr:col>
                <xdr:colOff>222250</xdr:colOff>
                <xdr:row>31</xdr:row>
                <xdr:rowOff>165100</xdr:rowOff>
              </to>
            </anchor>
          </objectPr>
        </oleObject>
      </mc:Choice>
      <mc:Fallback>
        <oleObject progId="Equation.3" shapeId="389122" r:id="rId5"/>
      </mc:Fallback>
    </mc:AlternateContent>
    <mc:AlternateContent xmlns:mc="http://schemas.openxmlformats.org/markup-compatibility/2006">
      <mc:Choice Requires="x14">
        <oleObject progId="Equation.3" shapeId="389123" r:id="rId7">
          <objectPr defaultSize="0" autoPict="0" r:id="rId8">
            <anchor moveWithCells="1">
              <from>
                <xdr:col>1</xdr:col>
                <xdr:colOff>793750</xdr:colOff>
                <xdr:row>32</xdr:row>
                <xdr:rowOff>165100</xdr:rowOff>
              </from>
              <to>
                <xdr:col>11</xdr:col>
                <xdr:colOff>222250</xdr:colOff>
                <xdr:row>36</xdr:row>
                <xdr:rowOff>165100</xdr:rowOff>
              </to>
            </anchor>
          </objectPr>
        </oleObject>
      </mc:Choice>
      <mc:Fallback>
        <oleObject progId="Equation.3" shapeId="389123" r:id="rId7"/>
      </mc:Fallback>
    </mc:AlternateContent>
    <mc:AlternateContent xmlns:mc="http://schemas.openxmlformats.org/markup-compatibility/2006">
      <mc:Choice Requires="x14">
        <oleObject progId="Equation.3" shapeId="389124" r:id="rId9">
          <objectPr defaultSize="0" autoPict="0" r:id="rId10">
            <anchor moveWithCells="1">
              <from>
                <xdr:col>2</xdr:col>
                <xdr:colOff>38100</xdr:colOff>
                <xdr:row>3</xdr:row>
                <xdr:rowOff>44450</xdr:rowOff>
              </from>
              <to>
                <xdr:col>5</xdr:col>
                <xdr:colOff>615950</xdr:colOff>
                <xdr:row>9</xdr:row>
                <xdr:rowOff>31750</xdr:rowOff>
              </to>
            </anchor>
          </objectPr>
        </oleObject>
      </mc:Choice>
      <mc:Fallback>
        <oleObject progId="Equation.3" shapeId="389124" r:id="rId9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ESTER</vt:lpstr>
      <vt:lpstr>Euribor 6M</vt:lpstr>
      <vt:lpstr>Validación</vt:lpstr>
      <vt:lpstr>Curvas_antiguas</vt:lpstr>
      <vt:lpstr>Implicitos mas 1 años</vt:lpstr>
      <vt:lpstr>Implicitos a menos de 1 año</vt:lpstr>
      <vt:lpstr>'Euribor 6M'!Print_Area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Alejandra Gonzalez Gomez</dc:creator>
  <cp:lastModifiedBy>GONZALEZ GOMEZ ,ALEXANDRA</cp:lastModifiedBy>
  <dcterms:created xsi:type="dcterms:W3CDTF">2014-12-09T15:50:49Z</dcterms:created>
  <dcterms:modified xsi:type="dcterms:W3CDTF">2021-06-11T13:22:15Z</dcterms:modified>
</cp:coreProperties>
</file>