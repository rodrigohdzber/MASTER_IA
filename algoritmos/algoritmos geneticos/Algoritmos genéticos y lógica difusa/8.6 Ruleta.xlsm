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illermo\Desktop\"/>
    </mc:Choice>
  </mc:AlternateContent>
  <bookViews>
    <workbookView xWindow="0" yWindow="0" windowWidth="28800" windowHeight="12435"/>
  </bookViews>
  <sheets>
    <sheet name="Ruleta" sheetId="2" r:id="rId1"/>
    <sheet name="Hoja1" sheetId="1" state="hidden" r:id="rId2"/>
  </sheets>
  <definedNames>
    <definedName name="_xlnm._FilterDatabase" localSheetId="1" hidden="1">Hoja1!$AJ$178:$BI$339</definedName>
    <definedName name="analizar_jugada_humana">Ruleta!$B$21</definedName>
    <definedName name="apuesta">Ruleta!$D$9:$AC$16</definedName>
    <definedName name="apuesta_1">Hoja1!$AJ$2:$AL$38</definedName>
    <definedName name="apuesta_12">Hoja1!$AJ$157:$AW$162</definedName>
    <definedName name="apuesta_18">Hoja1!$AJ$165:$BC$170</definedName>
    <definedName name="apuesta_2">Hoja1!$AJ$41:$AM$100</definedName>
    <definedName name="apuesta_24">Hoja1!$AJ$173:$BI$176</definedName>
    <definedName name="apuesta_3">Hoja1!$AJ$103:$AN$116</definedName>
    <definedName name="apuesta_4">Hoja1!$AJ$119:$AO$141</definedName>
    <definedName name="apuesta_6">Hoja1!$AJ$144:$AQ$154</definedName>
    <definedName name="apuestas_posibles">Hoja1!$AJ$179:$BI$339</definedName>
    <definedName name="capital_actual">Ruleta!$B$12</definedName>
    <definedName name="color">Hoja1!$BK$3:$BK$39</definedName>
    <definedName name="Fin">Ruleta!$Z$4</definedName>
    <definedName name="generacion">Ruleta!$B$24</definedName>
    <definedName name="histograma">Ruleta!$AK$3:$AK$102</definedName>
    <definedName name="humano">Ruleta!$B$18</definedName>
    <definedName name="Inicio">Ruleta!$Z$3</definedName>
    <definedName name="mapeo_apuestas">Hoja1!$B$12:$AA$19</definedName>
    <definedName name="matriz_beneficio_medio">Ruleta!$C$35</definedName>
    <definedName name="matriz_num_jugadas_beneficio">Ruleta!$C$33</definedName>
    <definedName name="matriz_num_jugadas_pda">Ruleta!$C$34</definedName>
    <definedName name="matriz_pda_max">Ruleta!$C$32</definedName>
    <definedName name="matriz_pda_media">Ruleta!$C$36</definedName>
    <definedName name="matriz_rdo">Ruleta!$C$31</definedName>
    <definedName name="matriz_rozamiento">Hoja1!$BL$2:$CW$39</definedName>
    <definedName name="num_mas_frecuentes">Ruleta!$B$6:$B$9</definedName>
    <definedName name="numero">Hoja1!$BL$3:$BL$39</definedName>
    <definedName name="perfil_riesgo_bonito">Ruleta!$D$19:$P$21</definedName>
    <definedName name="porcentaje_ruleta_beneficios">Ruleta!$C$26</definedName>
    <definedName name="porcentaje_ruleta_cero">Ruleta!$C$28</definedName>
    <definedName name="porcentaje_ruleta_perdidas">Ruleta!$C$27</definedName>
    <definedName name="prob_ocurrencia">Hoja1!$BL$2</definedName>
    <definedName name="rangos_histograma">Ruleta!$AJ$3:$AJ$102</definedName>
    <definedName name="rdo_tirada">Ruleta!$B$15</definedName>
    <definedName name="ruleta">Ruleta!$D$2:$P$4</definedName>
    <definedName name="tipo_ruleta">Ruleta!$B$3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V39" i="1" l="1"/>
  <c r="CJ39" i="1"/>
  <c r="CW38" i="1"/>
  <c r="CW37" i="1" s="1"/>
  <c r="CW36" i="1" s="1"/>
  <c r="CW35" i="1" s="1"/>
  <c r="CW34" i="1" s="1"/>
  <c r="CW33" i="1" s="1"/>
  <c r="CW32" i="1" s="1"/>
  <c r="CW31" i="1" s="1"/>
  <c r="CW30" i="1" s="1"/>
  <c r="CW29" i="1" s="1"/>
  <c r="CU38" i="1"/>
  <c r="CU39" i="1" s="1"/>
  <c r="CT38" i="1"/>
  <c r="CT39" i="1" s="1"/>
  <c r="CV37" i="1"/>
  <c r="CT37" i="1"/>
  <c r="CV36" i="1"/>
  <c r="CV35" i="1" s="1"/>
  <c r="CV34" i="1" s="1"/>
  <c r="CV33" i="1" s="1"/>
  <c r="CV32" i="1" s="1"/>
  <c r="CV31" i="1" s="1"/>
  <c r="CV30" i="1" s="1"/>
  <c r="CV29" i="1" s="1"/>
  <c r="CU36" i="1"/>
  <c r="CU35" i="1" s="1"/>
  <c r="CS36" i="1"/>
  <c r="CS37" i="1" s="1"/>
  <c r="CS38" i="1" s="1"/>
  <c r="CS39" i="1" s="1"/>
  <c r="CT35" i="1"/>
  <c r="CR35" i="1"/>
  <c r="CR36" i="1" s="1"/>
  <c r="CR37" i="1" s="1"/>
  <c r="CR38" i="1" s="1"/>
  <c r="CR39" i="1" s="1"/>
  <c r="CQ35" i="1"/>
  <c r="CQ36" i="1" s="1"/>
  <c r="CQ37" i="1" s="1"/>
  <c r="CQ38" i="1" s="1"/>
  <c r="CQ39" i="1" s="1"/>
  <c r="CO35" i="1"/>
  <c r="CO36" i="1" s="1"/>
  <c r="CO37" i="1" s="1"/>
  <c r="CO38" i="1" s="1"/>
  <c r="CO39" i="1" s="1"/>
  <c r="CU34" i="1"/>
  <c r="CU33" i="1" s="1"/>
  <c r="CU32" i="1" s="1"/>
  <c r="CU31" i="1" s="1"/>
  <c r="CU30" i="1" s="1"/>
  <c r="CU29" i="1" s="1"/>
  <c r="CU28" i="1" s="1"/>
  <c r="CU27" i="1" s="1"/>
  <c r="CT34" i="1"/>
  <c r="CT33" i="1" s="1"/>
  <c r="CT32" i="1" s="1"/>
  <c r="CT31" i="1" s="1"/>
  <c r="CT30" i="1" s="1"/>
  <c r="CT29" i="1" s="1"/>
  <c r="CT28" i="1" s="1"/>
  <c r="CT27" i="1" s="1"/>
  <c r="CT26" i="1" s="1"/>
  <c r="CT25" i="1" s="1"/>
  <c r="CT24" i="1" s="1"/>
  <c r="CT23" i="1" s="1"/>
  <c r="CT22" i="1" s="1"/>
  <c r="CT21" i="1" s="1"/>
  <c r="CT20" i="1" s="1"/>
  <c r="CT19" i="1" s="1"/>
  <c r="CT18" i="1" s="1"/>
  <c r="CT17" i="1" s="1"/>
  <c r="CT16" i="1" s="1"/>
  <c r="CT15" i="1" s="1"/>
  <c r="CT14" i="1" s="1"/>
  <c r="CT13" i="1" s="1"/>
  <c r="CT12" i="1" s="1"/>
  <c r="CT11" i="1" s="1"/>
  <c r="CT10" i="1" s="1"/>
  <c r="CT9" i="1" s="1"/>
  <c r="CT8" i="1" s="1"/>
  <c r="CT7" i="1" s="1"/>
  <c r="CT6" i="1" s="1"/>
  <c r="CT5" i="1" s="1"/>
  <c r="CT4" i="1" s="1"/>
  <c r="CT3" i="1" s="1"/>
  <c r="CS34" i="1"/>
  <c r="CQ34" i="1"/>
  <c r="CE34" i="1"/>
  <c r="CE35" i="1" s="1"/>
  <c r="CE36" i="1" s="1"/>
  <c r="CE37" i="1" s="1"/>
  <c r="CE38" i="1" s="1"/>
  <c r="CE39" i="1" s="1"/>
  <c r="CS33" i="1"/>
  <c r="CS32" i="1" s="1"/>
  <c r="CS31" i="1" s="1"/>
  <c r="CS30" i="1" s="1"/>
  <c r="CR33" i="1"/>
  <c r="CR32" i="1" s="1"/>
  <c r="CR31" i="1" s="1"/>
  <c r="CR30" i="1" s="1"/>
  <c r="CR29" i="1" s="1"/>
  <c r="CR28" i="1" s="1"/>
  <c r="CR27" i="1" s="1"/>
  <c r="CR26" i="1" s="1"/>
  <c r="CR25" i="1" s="1"/>
  <c r="CR24" i="1" s="1"/>
  <c r="CR23" i="1" s="1"/>
  <c r="CR22" i="1" s="1"/>
  <c r="CR21" i="1" s="1"/>
  <c r="CR20" i="1" s="1"/>
  <c r="CR19" i="1" s="1"/>
  <c r="CR18" i="1" s="1"/>
  <c r="CR17" i="1" s="1"/>
  <c r="CR16" i="1" s="1"/>
  <c r="CR15" i="1" s="1"/>
  <c r="CR14" i="1" s="1"/>
  <c r="CR13" i="1" s="1"/>
  <c r="CR12" i="1" s="1"/>
  <c r="CR11" i="1" s="1"/>
  <c r="CP33" i="1"/>
  <c r="CP34" i="1" s="1"/>
  <c r="CP35" i="1" s="1"/>
  <c r="CP36" i="1" s="1"/>
  <c r="CP37" i="1" s="1"/>
  <c r="CP38" i="1" s="1"/>
  <c r="CP39" i="1" s="1"/>
  <c r="CH33" i="1"/>
  <c r="CH34" i="1" s="1"/>
  <c r="CH35" i="1" s="1"/>
  <c r="CH36" i="1" s="1"/>
  <c r="CH37" i="1" s="1"/>
  <c r="CH38" i="1" s="1"/>
  <c r="CH39" i="1" s="1"/>
  <c r="CQ32" i="1"/>
  <c r="CO32" i="1"/>
  <c r="CO33" i="1" s="1"/>
  <c r="CO34" i="1" s="1"/>
  <c r="CN32" i="1"/>
  <c r="CN33" i="1" s="1"/>
  <c r="CN34" i="1" s="1"/>
  <c r="CN35" i="1" s="1"/>
  <c r="CN36" i="1" s="1"/>
  <c r="CN37" i="1" s="1"/>
  <c r="CN38" i="1" s="1"/>
  <c r="CN39" i="1" s="1"/>
  <c r="CL32" i="1"/>
  <c r="CL33" i="1" s="1"/>
  <c r="CL34" i="1" s="1"/>
  <c r="CL35" i="1" s="1"/>
  <c r="CL36" i="1" s="1"/>
  <c r="CL37" i="1" s="1"/>
  <c r="CL38" i="1" s="1"/>
  <c r="CL39" i="1" s="1"/>
  <c r="CK32" i="1"/>
  <c r="CK33" i="1" s="1"/>
  <c r="CK34" i="1" s="1"/>
  <c r="CK35" i="1" s="1"/>
  <c r="CK36" i="1" s="1"/>
  <c r="CK37" i="1" s="1"/>
  <c r="CK38" i="1" s="1"/>
  <c r="CK39" i="1" s="1"/>
  <c r="BP32" i="1"/>
  <c r="BP33" i="1" s="1"/>
  <c r="BP34" i="1" s="1"/>
  <c r="BP35" i="1" s="1"/>
  <c r="BP36" i="1" s="1"/>
  <c r="BP37" i="1" s="1"/>
  <c r="BP38" i="1" s="1"/>
  <c r="BP39" i="1" s="1"/>
  <c r="CQ31" i="1"/>
  <c r="CQ30" i="1" s="1"/>
  <c r="CQ29" i="1" s="1"/>
  <c r="CQ28" i="1" s="1"/>
  <c r="CP31" i="1"/>
  <c r="CN31" i="1"/>
  <c r="CJ31" i="1"/>
  <c r="CJ32" i="1" s="1"/>
  <c r="CJ33" i="1" s="1"/>
  <c r="CJ34" i="1" s="1"/>
  <c r="CJ35" i="1" s="1"/>
  <c r="CJ36" i="1" s="1"/>
  <c r="CJ37" i="1" s="1"/>
  <c r="CJ38" i="1" s="1"/>
  <c r="CP30" i="1"/>
  <c r="CP29" i="1" s="1"/>
  <c r="CP28" i="1" s="1"/>
  <c r="CP27" i="1" s="1"/>
  <c r="CP26" i="1" s="1"/>
  <c r="CP25" i="1" s="1"/>
  <c r="CO30" i="1"/>
  <c r="CO29" i="1" s="1"/>
  <c r="CM30" i="1"/>
  <c r="CM31" i="1" s="1"/>
  <c r="CM32" i="1" s="1"/>
  <c r="CM33" i="1" s="1"/>
  <c r="CM34" i="1" s="1"/>
  <c r="CM35" i="1" s="1"/>
  <c r="CM36" i="1" s="1"/>
  <c r="CM37" i="1" s="1"/>
  <c r="CM38" i="1" s="1"/>
  <c r="CM39" i="1" s="1"/>
  <c r="CL30" i="1"/>
  <c r="CL31" i="1" s="1"/>
  <c r="CF30" i="1"/>
  <c r="CF31" i="1" s="1"/>
  <c r="CF32" i="1" s="1"/>
  <c r="CF33" i="1" s="1"/>
  <c r="CF34" i="1" s="1"/>
  <c r="CF35" i="1" s="1"/>
  <c r="CF36" i="1" s="1"/>
  <c r="CF37" i="1" s="1"/>
  <c r="CF38" i="1" s="1"/>
  <c r="CF39" i="1" s="1"/>
  <c r="CF3" i="1" s="1"/>
  <c r="CS29" i="1"/>
  <c r="CS28" i="1" s="1"/>
  <c r="CS27" i="1" s="1"/>
  <c r="CS26" i="1" s="1"/>
  <c r="CN29" i="1"/>
  <c r="CL29" i="1"/>
  <c r="CK29" i="1"/>
  <c r="CK30" i="1" s="1"/>
  <c r="CK31" i="1" s="1"/>
  <c r="CW28" i="1"/>
  <c r="CW27" i="1" s="1"/>
  <c r="CW26" i="1" s="1"/>
  <c r="CW25" i="1" s="1"/>
  <c r="CW24" i="1" s="1"/>
  <c r="CW23" i="1" s="1"/>
  <c r="CW22" i="1" s="1"/>
  <c r="CW21" i="1" s="1"/>
  <c r="CW20" i="1" s="1"/>
  <c r="CW19" i="1" s="1"/>
  <c r="CW18" i="1" s="1"/>
  <c r="CW17" i="1" s="1"/>
  <c r="CW16" i="1" s="1"/>
  <c r="CW15" i="1" s="1"/>
  <c r="CW14" i="1" s="1"/>
  <c r="CW13" i="1" s="1"/>
  <c r="CW12" i="1" s="1"/>
  <c r="CW11" i="1" s="1"/>
  <c r="CW10" i="1" s="1"/>
  <c r="CW9" i="1" s="1"/>
  <c r="CW8" i="1" s="1"/>
  <c r="CW7" i="1" s="1"/>
  <c r="CW6" i="1" s="1"/>
  <c r="CW5" i="1" s="1"/>
  <c r="CW4" i="1" s="1"/>
  <c r="CW3" i="1" s="1"/>
  <c r="CV28" i="1"/>
  <c r="CV27" i="1" s="1"/>
  <c r="CV26" i="1" s="1"/>
  <c r="CV25" i="1" s="1"/>
  <c r="CV24" i="1" s="1"/>
  <c r="CV23" i="1" s="1"/>
  <c r="CV22" i="1" s="1"/>
  <c r="CV21" i="1" s="1"/>
  <c r="CV20" i="1" s="1"/>
  <c r="CV19" i="1" s="1"/>
  <c r="CV18" i="1" s="1"/>
  <c r="CV17" i="1" s="1"/>
  <c r="CV16" i="1" s="1"/>
  <c r="CV15" i="1" s="1"/>
  <c r="CV14" i="1" s="1"/>
  <c r="CV13" i="1" s="1"/>
  <c r="CV12" i="1" s="1"/>
  <c r="CV11" i="1" s="1"/>
  <c r="CV10" i="1" s="1"/>
  <c r="CV9" i="1" s="1"/>
  <c r="CV8" i="1" s="1"/>
  <c r="CV7" i="1" s="1"/>
  <c r="CV6" i="1" s="1"/>
  <c r="CV5" i="1" s="1"/>
  <c r="CV4" i="1" s="1"/>
  <c r="CV3" i="1" s="1"/>
  <c r="CO28" i="1"/>
  <c r="CO27" i="1" s="1"/>
  <c r="CN28" i="1"/>
  <c r="CN27" i="1" s="1"/>
  <c r="CM28" i="1"/>
  <c r="CM27" i="1" s="1"/>
  <c r="CM26" i="1" s="1"/>
  <c r="CM25" i="1" s="1"/>
  <c r="CK28" i="1"/>
  <c r="CF28" i="1"/>
  <c r="CF29" i="1" s="1"/>
  <c r="CQ27" i="1"/>
  <c r="CQ26" i="1" s="1"/>
  <c r="CL27" i="1"/>
  <c r="CL26" i="1" s="1"/>
  <c r="CL25" i="1" s="1"/>
  <c r="CL24" i="1" s="1"/>
  <c r="CL23" i="1" s="1"/>
  <c r="CJ27" i="1"/>
  <c r="CJ28" i="1" s="1"/>
  <c r="CJ29" i="1" s="1"/>
  <c r="CJ30" i="1" s="1"/>
  <c r="CI27" i="1"/>
  <c r="CI28" i="1" s="1"/>
  <c r="CI29" i="1" s="1"/>
  <c r="CI30" i="1" s="1"/>
  <c r="CI31" i="1" s="1"/>
  <c r="CI32" i="1" s="1"/>
  <c r="CI33" i="1" s="1"/>
  <c r="CI34" i="1" s="1"/>
  <c r="CI35" i="1" s="1"/>
  <c r="CI36" i="1" s="1"/>
  <c r="CI37" i="1" s="1"/>
  <c r="CI38" i="1" s="1"/>
  <c r="CI39" i="1" s="1"/>
  <c r="CH27" i="1"/>
  <c r="CH28" i="1" s="1"/>
  <c r="CH29" i="1" s="1"/>
  <c r="CH30" i="1" s="1"/>
  <c r="CH31" i="1" s="1"/>
  <c r="CH32" i="1" s="1"/>
  <c r="CU26" i="1"/>
  <c r="CU25" i="1" s="1"/>
  <c r="CU24" i="1" s="1"/>
  <c r="CU23" i="1" s="1"/>
  <c r="CU22" i="1" s="1"/>
  <c r="CU21" i="1" s="1"/>
  <c r="CU20" i="1" s="1"/>
  <c r="CU19" i="1" s="1"/>
  <c r="CU18" i="1" s="1"/>
  <c r="CU17" i="1" s="1"/>
  <c r="CU16" i="1" s="1"/>
  <c r="CU15" i="1" s="1"/>
  <c r="CU14" i="1" s="1"/>
  <c r="CU13" i="1" s="1"/>
  <c r="CU12" i="1" s="1"/>
  <c r="CU11" i="1" s="1"/>
  <c r="CU10" i="1" s="1"/>
  <c r="CU9" i="1" s="1"/>
  <c r="CU8" i="1" s="1"/>
  <c r="CU7" i="1" s="1"/>
  <c r="CU6" i="1" s="1"/>
  <c r="CU5" i="1" s="1"/>
  <c r="CU4" i="1" s="1"/>
  <c r="CU3" i="1" s="1"/>
  <c r="CO26" i="1"/>
  <c r="CO25" i="1" s="1"/>
  <c r="CO24" i="1" s="1"/>
  <c r="CO23" i="1" s="1"/>
  <c r="CO22" i="1" s="1"/>
  <c r="CO21" i="1" s="1"/>
  <c r="CN26" i="1"/>
  <c r="CN25" i="1" s="1"/>
  <c r="CK26" i="1"/>
  <c r="CI26" i="1"/>
  <c r="CG26" i="1"/>
  <c r="CG27" i="1" s="1"/>
  <c r="CG28" i="1" s="1"/>
  <c r="CG29" i="1" s="1"/>
  <c r="CG30" i="1" s="1"/>
  <c r="CG31" i="1" s="1"/>
  <c r="CG32" i="1" s="1"/>
  <c r="CG33" i="1" s="1"/>
  <c r="CG34" i="1" s="1"/>
  <c r="CG35" i="1" s="1"/>
  <c r="CG36" i="1" s="1"/>
  <c r="CG37" i="1" s="1"/>
  <c r="CG38" i="1" s="1"/>
  <c r="CG39" i="1" s="1"/>
  <c r="CS25" i="1"/>
  <c r="CS24" i="1" s="1"/>
  <c r="CQ25" i="1"/>
  <c r="CQ24" i="1" s="1"/>
  <c r="CK25" i="1"/>
  <c r="CK24" i="1" s="1"/>
  <c r="CJ25" i="1"/>
  <c r="CJ24" i="1" s="1"/>
  <c r="CJ23" i="1" s="1"/>
  <c r="CJ22" i="1" s="1"/>
  <c r="CJ21" i="1" s="1"/>
  <c r="CJ20" i="1" s="1"/>
  <c r="CJ19" i="1" s="1"/>
  <c r="CJ18" i="1" s="1"/>
  <c r="CJ17" i="1" s="1"/>
  <c r="CJ16" i="1" s="1"/>
  <c r="CJ15" i="1" s="1"/>
  <c r="CJ14" i="1" s="1"/>
  <c r="CJ13" i="1" s="1"/>
  <c r="CJ12" i="1" s="1"/>
  <c r="CJ11" i="1" s="1"/>
  <c r="CJ10" i="1" s="1"/>
  <c r="CJ9" i="1" s="1"/>
  <c r="CJ8" i="1" s="1"/>
  <c r="CH25" i="1"/>
  <c r="CH26" i="1" s="1"/>
  <c r="CA25" i="1"/>
  <c r="CA26" i="1" s="1"/>
  <c r="CA27" i="1" s="1"/>
  <c r="CA28" i="1" s="1"/>
  <c r="CA29" i="1" s="1"/>
  <c r="CA30" i="1" s="1"/>
  <c r="CA31" i="1" s="1"/>
  <c r="CA32" i="1" s="1"/>
  <c r="CA33" i="1" s="1"/>
  <c r="CA34" i="1" s="1"/>
  <c r="CA35" i="1" s="1"/>
  <c r="CA36" i="1" s="1"/>
  <c r="CA37" i="1" s="1"/>
  <c r="CA38" i="1" s="1"/>
  <c r="CA39" i="1" s="1"/>
  <c r="CP24" i="1"/>
  <c r="CP23" i="1" s="1"/>
  <c r="CP22" i="1" s="1"/>
  <c r="CP21" i="1" s="1"/>
  <c r="CP20" i="1" s="1"/>
  <c r="CP19" i="1" s="1"/>
  <c r="CP18" i="1" s="1"/>
  <c r="CP17" i="1" s="1"/>
  <c r="CN24" i="1"/>
  <c r="CN23" i="1" s="1"/>
  <c r="CM24" i="1"/>
  <c r="CM23" i="1" s="1"/>
  <c r="CI24" i="1"/>
  <c r="CG24" i="1"/>
  <c r="CG25" i="1" s="1"/>
  <c r="CF24" i="1"/>
  <c r="CF25" i="1" s="1"/>
  <c r="CF26" i="1" s="1"/>
  <c r="CF27" i="1" s="1"/>
  <c r="CS23" i="1"/>
  <c r="CS22" i="1" s="1"/>
  <c r="CS21" i="1" s="1"/>
  <c r="CS20" i="1" s="1"/>
  <c r="CS19" i="1" s="1"/>
  <c r="CS18" i="1" s="1"/>
  <c r="CS17" i="1" s="1"/>
  <c r="CS16" i="1" s="1"/>
  <c r="CS15" i="1" s="1"/>
  <c r="CS14" i="1" s="1"/>
  <c r="CS13" i="1" s="1"/>
  <c r="CS12" i="1" s="1"/>
  <c r="CS11" i="1" s="1"/>
  <c r="CS10" i="1" s="1"/>
  <c r="CS9" i="1" s="1"/>
  <c r="CS8" i="1" s="1"/>
  <c r="CS7" i="1" s="1"/>
  <c r="CS6" i="1" s="1"/>
  <c r="CS5" i="1" s="1"/>
  <c r="CS4" i="1" s="1"/>
  <c r="CS3" i="1" s="1"/>
  <c r="CQ23" i="1"/>
  <c r="CQ22" i="1" s="1"/>
  <c r="CK23" i="1"/>
  <c r="CK22" i="1" s="1"/>
  <c r="CI23" i="1"/>
  <c r="CI22" i="1" s="1"/>
  <c r="CH23" i="1"/>
  <c r="CH22" i="1" s="1"/>
  <c r="CH21" i="1" s="1"/>
  <c r="CH20" i="1" s="1"/>
  <c r="CH19" i="1" s="1"/>
  <c r="CH18" i="1" s="1"/>
  <c r="CF23" i="1"/>
  <c r="CB23" i="1"/>
  <c r="CB24" i="1" s="1"/>
  <c r="CB25" i="1" s="1"/>
  <c r="CB26" i="1" s="1"/>
  <c r="CB27" i="1" s="1"/>
  <c r="CB28" i="1" s="1"/>
  <c r="CB29" i="1" s="1"/>
  <c r="CB30" i="1" s="1"/>
  <c r="CB31" i="1" s="1"/>
  <c r="CB32" i="1" s="1"/>
  <c r="CB33" i="1" s="1"/>
  <c r="CB34" i="1" s="1"/>
  <c r="CB35" i="1" s="1"/>
  <c r="CB36" i="1" s="1"/>
  <c r="CB37" i="1" s="1"/>
  <c r="CB38" i="1" s="1"/>
  <c r="CB39" i="1" s="1"/>
  <c r="CN22" i="1"/>
  <c r="CN21" i="1" s="1"/>
  <c r="CM22" i="1"/>
  <c r="CM21" i="1" s="1"/>
  <c r="CL22" i="1"/>
  <c r="CL21" i="1" s="1"/>
  <c r="CL20" i="1" s="1"/>
  <c r="CL19" i="1" s="1"/>
  <c r="CL18" i="1" s="1"/>
  <c r="CL17" i="1" s="1"/>
  <c r="CL16" i="1" s="1"/>
  <c r="CL15" i="1" s="1"/>
  <c r="CL14" i="1" s="1"/>
  <c r="CL13" i="1" s="1"/>
  <c r="CL12" i="1" s="1"/>
  <c r="CL11" i="1" s="1"/>
  <c r="CL10" i="1" s="1"/>
  <c r="CL9" i="1" s="1"/>
  <c r="CL8" i="1" s="1"/>
  <c r="CL7" i="1" s="1"/>
  <c r="CL6" i="1" s="1"/>
  <c r="CL5" i="1" s="1"/>
  <c r="CL4" i="1" s="1"/>
  <c r="CL3" i="1" s="1"/>
  <c r="CG22" i="1"/>
  <c r="CG21" i="1" s="1"/>
  <c r="CG20" i="1" s="1"/>
  <c r="CE22" i="1"/>
  <c r="CE23" i="1" s="1"/>
  <c r="CE24" i="1" s="1"/>
  <c r="CE25" i="1" s="1"/>
  <c r="CE26" i="1" s="1"/>
  <c r="CE27" i="1" s="1"/>
  <c r="CE28" i="1" s="1"/>
  <c r="CE29" i="1" s="1"/>
  <c r="CE30" i="1" s="1"/>
  <c r="CE31" i="1" s="1"/>
  <c r="CE32" i="1" s="1"/>
  <c r="CE33" i="1" s="1"/>
  <c r="CD22" i="1"/>
  <c r="CD23" i="1" s="1"/>
  <c r="CD24" i="1" s="1"/>
  <c r="CD25" i="1" s="1"/>
  <c r="CD26" i="1" s="1"/>
  <c r="CD27" i="1" s="1"/>
  <c r="CD28" i="1" s="1"/>
  <c r="CD29" i="1" s="1"/>
  <c r="CD30" i="1" s="1"/>
  <c r="CD31" i="1" s="1"/>
  <c r="CD32" i="1" s="1"/>
  <c r="CD33" i="1" s="1"/>
  <c r="CD34" i="1" s="1"/>
  <c r="CD35" i="1" s="1"/>
  <c r="CD36" i="1" s="1"/>
  <c r="CD37" i="1" s="1"/>
  <c r="CD38" i="1" s="1"/>
  <c r="CQ21" i="1"/>
  <c r="CQ20" i="1" s="1"/>
  <c r="CQ19" i="1" s="1"/>
  <c r="CQ18" i="1" s="1"/>
  <c r="CK21" i="1"/>
  <c r="CK20" i="1" s="1"/>
  <c r="CK19" i="1" s="1"/>
  <c r="CK18" i="1" s="1"/>
  <c r="CK17" i="1" s="1"/>
  <c r="CK16" i="1" s="1"/>
  <c r="CK15" i="1" s="1"/>
  <c r="CK14" i="1" s="1"/>
  <c r="CK13" i="1" s="1"/>
  <c r="CK12" i="1" s="1"/>
  <c r="CK11" i="1" s="1"/>
  <c r="CK10" i="1" s="1"/>
  <c r="CK9" i="1" s="1"/>
  <c r="CK8" i="1" s="1"/>
  <c r="CK7" i="1" s="1"/>
  <c r="CK6" i="1" s="1"/>
  <c r="CK5" i="1" s="1"/>
  <c r="CK4" i="1" s="1"/>
  <c r="CK3" i="1" s="1"/>
  <c r="CI21" i="1"/>
  <c r="CI20" i="1" s="1"/>
  <c r="CF21" i="1"/>
  <c r="CD21" i="1"/>
  <c r="CC21" i="1"/>
  <c r="CC22" i="1" s="1"/>
  <c r="CC23" i="1" s="1"/>
  <c r="CC24" i="1" s="1"/>
  <c r="CC25" i="1" s="1"/>
  <c r="CC26" i="1" s="1"/>
  <c r="CC27" i="1" s="1"/>
  <c r="CC28" i="1" s="1"/>
  <c r="CC29" i="1" s="1"/>
  <c r="CC30" i="1" s="1"/>
  <c r="CC31" i="1" s="1"/>
  <c r="CC32" i="1" s="1"/>
  <c r="CC33" i="1" s="1"/>
  <c r="CC34" i="1" s="1"/>
  <c r="CC35" i="1" s="1"/>
  <c r="CC36" i="1" s="1"/>
  <c r="CC37" i="1" s="1"/>
  <c r="CC38" i="1" s="1"/>
  <c r="CC39" i="1" s="1"/>
  <c r="BZ21" i="1"/>
  <c r="BZ22" i="1" s="1"/>
  <c r="BZ23" i="1" s="1"/>
  <c r="BZ24" i="1" s="1"/>
  <c r="BZ25" i="1" s="1"/>
  <c r="BZ26" i="1" s="1"/>
  <c r="BZ27" i="1" s="1"/>
  <c r="BZ28" i="1" s="1"/>
  <c r="BZ29" i="1" s="1"/>
  <c r="BZ30" i="1" s="1"/>
  <c r="BZ31" i="1" s="1"/>
  <c r="BZ32" i="1" s="1"/>
  <c r="BZ33" i="1" s="1"/>
  <c r="BZ34" i="1" s="1"/>
  <c r="BZ35" i="1" s="1"/>
  <c r="BZ36" i="1" s="1"/>
  <c r="BZ37" i="1" s="1"/>
  <c r="BZ38" i="1" s="1"/>
  <c r="BZ39" i="1" s="1"/>
  <c r="CO20" i="1"/>
  <c r="CO19" i="1" s="1"/>
  <c r="CO18" i="1" s="1"/>
  <c r="CO17" i="1" s="1"/>
  <c r="CO16" i="1" s="1"/>
  <c r="CO15" i="1" s="1"/>
  <c r="CO14" i="1" s="1"/>
  <c r="CO13" i="1" s="1"/>
  <c r="CO12" i="1" s="1"/>
  <c r="CO11" i="1" s="1"/>
  <c r="CO10" i="1" s="1"/>
  <c r="CO9" i="1" s="1"/>
  <c r="CO8" i="1" s="1"/>
  <c r="CO7" i="1" s="1"/>
  <c r="CN20" i="1"/>
  <c r="CM20" i="1"/>
  <c r="CM19" i="1" s="1"/>
  <c r="CF20" i="1"/>
  <c r="CF19" i="1" s="1"/>
  <c r="CF18" i="1" s="1"/>
  <c r="CF17" i="1" s="1"/>
  <c r="CF16" i="1" s="1"/>
  <c r="CF15" i="1" s="1"/>
  <c r="CF14" i="1" s="1"/>
  <c r="CF13" i="1" s="1"/>
  <c r="CF12" i="1" s="1"/>
  <c r="CF11" i="1" s="1"/>
  <c r="CF10" i="1" s="1"/>
  <c r="CF9" i="1" s="1"/>
  <c r="CF8" i="1" s="1"/>
  <c r="CF7" i="1" s="1"/>
  <c r="CF6" i="1" s="1"/>
  <c r="CF5" i="1" s="1"/>
  <c r="CF4" i="1" s="1"/>
  <c r="CE20" i="1"/>
  <c r="CE19" i="1" s="1"/>
  <c r="CC20" i="1"/>
  <c r="BX20" i="1"/>
  <c r="BX21" i="1" s="1"/>
  <c r="BX22" i="1" s="1"/>
  <c r="BX23" i="1" s="1"/>
  <c r="BX24" i="1" s="1"/>
  <c r="BX25" i="1" s="1"/>
  <c r="BX26" i="1" s="1"/>
  <c r="BX27" i="1" s="1"/>
  <c r="BX28" i="1" s="1"/>
  <c r="BX29" i="1" s="1"/>
  <c r="BX30" i="1" s="1"/>
  <c r="BX31" i="1" s="1"/>
  <c r="BX32" i="1" s="1"/>
  <c r="BX33" i="1" s="1"/>
  <c r="BX34" i="1" s="1"/>
  <c r="BX35" i="1" s="1"/>
  <c r="BX36" i="1" s="1"/>
  <c r="BX37" i="1" s="1"/>
  <c r="BX38" i="1" s="1"/>
  <c r="BX39" i="1" s="1"/>
  <c r="BW20" i="1"/>
  <c r="BW21" i="1" s="1"/>
  <c r="BW22" i="1" s="1"/>
  <c r="BW23" i="1" s="1"/>
  <c r="BW24" i="1" s="1"/>
  <c r="BW25" i="1" s="1"/>
  <c r="BW26" i="1" s="1"/>
  <c r="BW27" i="1" s="1"/>
  <c r="BW28" i="1" s="1"/>
  <c r="BW29" i="1" s="1"/>
  <c r="BW30" i="1" s="1"/>
  <c r="BW31" i="1" s="1"/>
  <c r="BW32" i="1" s="1"/>
  <c r="BW33" i="1" s="1"/>
  <c r="BW34" i="1" s="1"/>
  <c r="BW35" i="1" s="1"/>
  <c r="BW36" i="1" s="1"/>
  <c r="BW37" i="1" s="1"/>
  <c r="BW38" i="1" s="1"/>
  <c r="BW39" i="1" s="1"/>
  <c r="CN19" i="1"/>
  <c r="CN18" i="1" s="1"/>
  <c r="CN17" i="1" s="1"/>
  <c r="CN16" i="1" s="1"/>
  <c r="CN15" i="1" s="1"/>
  <c r="CN14" i="1" s="1"/>
  <c r="CN13" i="1" s="1"/>
  <c r="CN12" i="1" s="1"/>
  <c r="CN11" i="1" s="1"/>
  <c r="CN10" i="1" s="1"/>
  <c r="CN9" i="1" s="1"/>
  <c r="CN8" i="1" s="1"/>
  <c r="CN7" i="1" s="1"/>
  <c r="CN6" i="1" s="1"/>
  <c r="CN5" i="1" s="1"/>
  <c r="CN4" i="1" s="1"/>
  <c r="CN3" i="1" s="1"/>
  <c r="CI19" i="1"/>
  <c r="CI18" i="1" s="1"/>
  <c r="CI17" i="1" s="1"/>
  <c r="CI16" i="1" s="1"/>
  <c r="CI15" i="1" s="1"/>
  <c r="CI14" i="1" s="1"/>
  <c r="CI13" i="1" s="1"/>
  <c r="CG19" i="1"/>
  <c r="CG18" i="1" s="1"/>
  <c r="CG17" i="1" s="1"/>
  <c r="CG16" i="1" s="1"/>
  <c r="CG15" i="1" s="1"/>
  <c r="CG14" i="1" s="1"/>
  <c r="CG13" i="1" s="1"/>
  <c r="CG12" i="1" s="1"/>
  <c r="CG11" i="1" s="1"/>
  <c r="CD19" i="1"/>
  <c r="CB19" i="1"/>
  <c r="CB20" i="1" s="1"/>
  <c r="CB21" i="1" s="1"/>
  <c r="CB22" i="1" s="1"/>
  <c r="BY19" i="1"/>
  <c r="BY20" i="1" s="1"/>
  <c r="BY21" i="1" s="1"/>
  <c r="BY22" i="1" s="1"/>
  <c r="BY23" i="1" s="1"/>
  <c r="BY24" i="1" s="1"/>
  <c r="BY25" i="1" s="1"/>
  <c r="BY26" i="1" s="1"/>
  <c r="BY27" i="1" s="1"/>
  <c r="BY28" i="1" s="1"/>
  <c r="BY29" i="1" s="1"/>
  <c r="BY30" i="1" s="1"/>
  <c r="BY31" i="1" s="1"/>
  <c r="BY32" i="1" s="1"/>
  <c r="BY33" i="1" s="1"/>
  <c r="BY34" i="1" s="1"/>
  <c r="BY35" i="1" s="1"/>
  <c r="BY36" i="1" s="1"/>
  <c r="BY37" i="1" s="1"/>
  <c r="BY38" i="1" s="1"/>
  <c r="BY39" i="1" s="1"/>
  <c r="CM18" i="1"/>
  <c r="CM17" i="1" s="1"/>
  <c r="CM16" i="1" s="1"/>
  <c r="CM15" i="1" s="1"/>
  <c r="CE18" i="1"/>
  <c r="CE17" i="1" s="1"/>
  <c r="CE16" i="1" s="1"/>
  <c r="CE15" i="1" s="1"/>
  <c r="CE14" i="1" s="1"/>
  <c r="CE13" i="1" s="1"/>
  <c r="CE12" i="1" s="1"/>
  <c r="CE11" i="1" s="1"/>
  <c r="CE10" i="1" s="1"/>
  <c r="CE9" i="1" s="1"/>
  <c r="CE8" i="1" s="1"/>
  <c r="CE7" i="1" s="1"/>
  <c r="CE6" i="1" s="1"/>
  <c r="CE5" i="1" s="1"/>
  <c r="CE4" i="1" s="1"/>
  <c r="CE3" i="1" s="1"/>
  <c r="CD18" i="1"/>
  <c r="CC18" i="1"/>
  <c r="CA18" i="1"/>
  <c r="CA19" i="1" s="1"/>
  <c r="CA20" i="1" s="1"/>
  <c r="CA21" i="1" s="1"/>
  <c r="CA22" i="1" s="1"/>
  <c r="CA23" i="1" s="1"/>
  <c r="CA24" i="1" s="1"/>
  <c r="BX18" i="1"/>
  <c r="BX19" i="1" s="1"/>
  <c r="CQ17" i="1"/>
  <c r="CQ16" i="1" s="1"/>
  <c r="CQ15" i="1" s="1"/>
  <c r="CQ14" i="1" s="1"/>
  <c r="CQ13" i="1" s="1"/>
  <c r="CQ12" i="1" s="1"/>
  <c r="CQ11" i="1" s="1"/>
  <c r="CH17" i="1"/>
  <c r="CH16" i="1" s="1"/>
  <c r="CH15" i="1" s="1"/>
  <c r="CH14" i="1" s="1"/>
  <c r="CH13" i="1" s="1"/>
  <c r="CH12" i="1" s="1"/>
  <c r="CH11" i="1" s="1"/>
  <c r="CH10" i="1" s="1"/>
  <c r="CH9" i="1" s="1"/>
  <c r="CH8" i="1" s="1"/>
  <c r="CH7" i="1" s="1"/>
  <c r="CH6" i="1" s="1"/>
  <c r="CH5" i="1" s="1"/>
  <c r="CH4" i="1" s="1"/>
  <c r="CH3" i="1" s="1"/>
  <c r="CD17" i="1"/>
  <c r="CC17" i="1"/>
  <c r="CB17" i="1"/>
  <c r="BZ17" i="1"/>
  <c r="BZ18" i="1" s="1"/>
  <c r="BZ19" i="1" s="1"/>
  <c r="BZ20" i="1" s="1"/>
  <c r="BX17" i="1"/>
  <c r="CP16" i="1"/>
  <c r="CP15" i="1" s="1"/>
  <c r="CP14" i="1" s="1"/>
  <c r="CP13" i="1" s="1"/>
  <c r="CP12" i="1" s="1"/>
  <c r="CP11" i="1" s="1"/>
  <c r="CP10" i="1" s="1"/>
  <c r="CP9" i="1" s="1"/>
  <c r="CP8" i="1" s="1"/>
  <c r="CP7" i="1" s="1"/>
  <c r="CP6" i="1" s="1"/>
  <c r="CP5" i="1" s="1"/>
  <c r="CP4" i="1" s="1"/>
  <c r="CP3" i="1" s="1"/>
  <c r="CD16" i="1"/>
  <c r="CC16" i="1"/>
  <c r="CB16" i="1"/>
  <c r="CB15" i="1" s="1"/>
  <c r="CB14" i="1" s="1"/>
  <c r="CB13" i="1" s="1"/>
  <c r="CA16" i="1"/>
  <c r="BY16" i="1"/>
  <c r="BY17" i="1" s="1"/>
  <c r="BY18" i="1" s="1"/>
  <c r="BX16" i="1"/>
  <c r="BU16" i="1"/>
  <c r="BU17" i="1" s="1"/>
  <c r="BU18" i="1" s="1"/>
  <c r="BU19" i="1" s="1"/>
  <c r="BU20" i="1" s="1"/>
  <c r="BU21" i="1" s="1"/>
  <c r="BU22" i="1" s="1"/>
  <c r="BU23" i="1" s="1"/>
  <c r="BU24" i="1" s="1"/>
  <c r="BU25" i="1" s="1"/>
  <c r="BU26" i="1" s="1"/>
  <c r="BU27" i="1" s="1"/>
  <c r="BU28" i="1" s="1"/>
  <c r="BU29" i="1" s="1"/>
  <c r="BU30" i="1" s="1"/>
  <c r="BU31" i="1" s="1"/>
  <c r="BU32" i="1" s="1"/>
  <c r="BU33" i="1" s="1"/>
  <c r="BU34" i="1" s="1"/>
  <c r="BU35" i="1" s="1"/>
  <c r="BU36" i="1" s="1"/>
  <c r="BU37" i="1" s="1"/>
  <c r="BU38" i="1" s="1"/>
  <c r="BU39" i="1" s="1"/>
  <c r="CD15" i="1"/>
  <c r="CD14" i="1" s="1"/>
  <c r="CC15" i="1"/>
  <c r="CC14" i="1" s="1"/>
  <c r="CC13" i="1" s="1"/>
  <c r="CC12" i="1" s="1"/>
  <c r="CA15" i="1"/>
  <c r="CA14" i="1" s="1"/>
  <c r="BZ15" i="1"/>
  <c r="BX15" i="1"/>
  <c r="BR15" i="1"/>
  <c r="BR16" i="1" s="1"/>
  <c r="BR17" i="1" s="1"/>
  <c r="BR18" i="1" s="1"/>
  <c r="BR19" i="1" s="1"/>
  <c r="BR20" i="1" s="1"/>
  <c r="BR21" i="1" s="1"/>
  <c r="BR22" i="1" s="1"/>
  <c r="BR23" i="1" s="1"/>
  <c r="BR24" i="1" s="1"/>
  <c r="BR25" i="1" s="1"/>
  <c r="BR26" i="1" s="1"/>
  <c r="BR27" i="1" s="1"/>
  <c r="BR28" i="1" s="1"/>
  <c r="BR29" i="1" s="1"/>
  <c r="BR30" i="1" s="1"/>
  <c r="BR31" i="1" s="1"/>
  <c r="BR32" i="1" s="1"/>
  <c r="BR33" i="1" s="1"/>
  <c r="BR34" i="1" s="1"/>
  <c r="BR35" i="1" s="1"/>
  <c r="BR36" i="1" s="1"/>
  <c r="BR37" i="1" s="1"/>
  <c r="BR38" i="1" s="1"/>
  <c r="BR39" i="1" s="1"/>
  <c r="BO15" i="1"/>
  <c r="BO16" i="1" s="1"/>
  <c r="BO17" i="1" s="1"/>
  <c r="BO18" i="1" s="1"/>
  <c r="BO19" i="1" s="1"/>
  <c r="BO20" i="1" s="1"/>
  <c r="BO21" i="1" s="1"/>
  <c r="BO22" i="1" s="1"/>
  <c r="BO23" i="1" s="1"/>
  <c r="BO24" i="1" s="1"/>
  <c r="BO25" i="1" s="1"/>
  <c r="BO26" i="1" s="1"/>
  <c r="BO27" i="1" s="1"/>
  <c r="BO28" i="1" s="1"/>
  <c r="BO29" i="1" s="1"/>
  <c r="BO30" i="1" s="1"/>
  <c r="BO31" i="1" s="1"/>
  <c r="BO32" i="1" s="1"/>
  <c r="BO33" i="1" s="1"/>
  <c r="BO34" i="1" s="1"/>
  <c r="BO35" i="1" s="1"/>
  <c r="BO36" i="1" s="1"/>
  <c r="BO37" i="1" s="1"/>
  <c r="BO38" i="1" s="1"/>
  <c r="BO39" i="1" s="1"/>
  <c r="CM14" i="1"/>
  <c r="CM13" i="1" s="1"/>
  <c r="CM12" i="1" s="1"/>
  <c r="CM11" i="1" s="1"/>
  <c r="CM10" i="1" s="1"/>
  <c r="CM9" i="1" s="1"/>
  <c r="CM8" i="1" s="1"/>
  <c r="CM7" i="1" s="1"/>
  <c r="CM6" i="1" s="1"/>
  <c r="CM5" i="1" s="1"/>
  <c r="CM4" i="1" s="1"/>
  <c r="BZ14" i="1"/>
  <c r="BY14" i="1"/>
  <c r="BY13" i="1" s="1"/>
  <c r="BY12" i="1" s="1"/>
  <c r="BY11" i="1" s="1"/>
  <c r="BY10" i="1" s="1"/>
  <c r="BY9" i="1" s="1"/>
  <c r="BY8" i="1" s="1"/>
  <c r="BY7" i="1" s="1"/>
  <c r="BY6" i="1" s="1"/>
  <c r="BY5" i="1" s="1"/>
  <c r="BY4" i="1" s="1"/>
  <c r="BY3" i="1" s="1"/>
  <c r="BW14" i="1"/>
  <c r="BW15" i="1" s="1"/>
  <c r="BW16" i="1" s="1"/>
  <c r="BW17" i="1" s="1"/>
  <c r="BW18" i="1" s="1"/>
  <c r="BW19" i="1" s="1"/>
  <c r="BT14" i="1"/>
  <c r="BT15" i="1" s="1"/>
  <c r="BT16" i="1" s="1"/>
  <c r="BT17" i="1" s="1"/>
  <c r="BT18" i="1" s="1"/>
  <c r="BT19" i="1" s="1"/>
  <c r="BT20" i="1" s="1"/>
  <c r="BT21" i="1" s="1"/>
  <c r="BT22" i="1" s="1"/>
  <c r="BT23" i="1" s="1"/>
  <c r="BT24" i="1" s="1"/>
  <c r="BT25" i="1" s="1"/>
  <c r="BT26" i="1" s="1"/>
  <c r="BT27" i="1" s="1"/>
  <c r="BT28" i="1" s="1"/>
  <c r="BT29" i="1" s="1"/>
  <c r="BT30" i="1" s="1"/>
  <c r="BT31" i="1" s="1"/>
  <c r="BT32" i="1" s="1"/>
  <c r="BT33" i="1" s="1"/>
  <c r="BT34" i="1" s="1"/>
  <c r="BT35" i="1" s="1"/>
  <c r="BT36" i="1" s="1"/>
  <c r="BT37" i="1" s="1"/>
  <c r="BT38" i="1" s="1"/>
  <c r="BT39" i="1" s="1"/>
  <c r="CD13" i="1"/>
  <c r="CD12" i="1" s="1"/>
  <c r="CD11" i="1" s="1"/>
  <c r="CD10" i="1" s="1"/>
  <c r="CD9" i="1" s="1"/>
  <c r="CD8" i="1" s="1"/>
  <c r="CD7" i="1" s="1"/>
  <c r="CD6" i="1" s="1"/>
  <c r="CD5" i="1" s="1"/>
  <c r="CD4" i="1" s="1"/>
  <c r="CD3" i="1" s="1"/>
  <c r="CD39" i="1" s="1"/>
  <c r="CA13" i="1"/>
  <c r="BZ13" i="1"/>
  <c r="BZ12" i="1" s="1"/>
  <c r="BZ11" i="1" s="1"/>
  <c r="BZ10" i="1" s="1"/>
  <c r="BZ9" i="1" s="1"/>
  <c r="BZ8" i="1" s="1"/>
  <c r="BZ7" i="1" s="1"/>
  <c r="BZ6" i="1" s="1"/>
  <c r="BZ5" i="1" s="1"/>
  <c r="BZ4" i="1" s="1"/>
  <c r="BZ3" i="1" s="1"/>
  <c r="BX13" i="1"/>
  <c r="BX12" i="1" s="1"/>
  <c r="BX11" i="1" s="1"/>
  <c r="BX10" i="1" s="1"/>
  <c r="BV13" i="1"/>
  <c r="BV14" i="1" s="1"/>
  <c r="BV15" i="1" s="1"/>
  <c r="BV16" i="1" s="1"/>
  <c r="BV17" i="1" s="1"/>
  <c r="BV18" i="1" s="1"/>
  <c r="BV19" i="1" s="1"/>
  <c r="BV20" i="1" s="1"/>
  <c r="BV21" i="1" s="1"/>
  <c r="BV22" i="1" s="1"/>
  <c r="BV23" i="1" s="1"/>
  <c r="BV24" i="1" s="1"/>
  <c r="BV25" i="1" s="1"/>
  <c r="BV26" i="1" s="1"/>
  <c r="BV27" i="1" s="1"/>
  <c r="BV28" i="1" s="1"/>
  <c r="BV29" i="1" s="1"/>
  <c r="BV30" i="1" s="1"/>
  <c r="BV31" i="1" s="1"/>
  <c r="BV32" i="1" s="1"/>
  <c r="BV33" i="1" s="1"/>
  <c r="BV34" i="1" s="1"/>
  <c r="BV35" i="1" s="1"/>
  <c r="BV36" i="1" s="1"/>
  <c r="BV37" i="1" s="1"/>
  <c r="BV38" i="1" s="1"/>
  <c r="BV39" i="1" s="1"/>
  <c r="CI12" i="1"/>
  <c r="CI11" i="1" s="1"/>
  <c r="CI10" i="1" s="1"/>
  <c r="CI9" i="1" s="1"/>
  <c r="CI8" i="1" s="1"/>
  <c r="CI7" i="1" s="1"/>
  <c r="CI6" i="1" s="1"/>
  <c r="CI5" i="1" s="1"/>
  <c r="CI4" i="1" s="1"/>
  <c r="CI3" i="1" s="1"/>
  <c r="CB12" i="1"/>
  <c r="CB11" i="1" s="1"/>
  <c r="CB10" i="1" s="1"/>
  <c r="CB9" i="1" s="1"/>
  <c r="CB8" i="1" s="1"/>
  <c r="CB7" i="1" s="1"/>
  <c r="CB6" i="1" s="1"/>
  <c r="CB5" i="1" s="1"/>
  <c r="CB4" i="1" s="1"/>
  <c r="CB3" i="1" s="1"/>
  <c r="CA12" i="1"/>
  <c r="CA11" i="1" s="1"/>
  <c r="BW12" i="1"/>
  <c r="BU12" i="1"/>
  <c r="BU13" i="1" s="1"/>
  <c r="BU14" i="1" s="1"/>
  <c r="BU15" i="1" s="1"/>
  <c r="CC11" i="1"/>
  <c r="CC10" i="1" s="1"/>
  <c r="CC9" i="1" s="1"/>
  <c r="CC8" i="1" s="1"/>
  <c r="CC7" i="1" s="1"/>
  <c r="CC6" i="1" s="1"/>
  <c r="CC5" i="1" s="1"/>
  <c r="CC4" i="1" s="1"/>
  <c r="CC3" i="1" s="1"/>
  <c r="BW11" i="1"/>
  <c r="BW10" i="1" s="1"/>
  <c r="BW9" i="1" s="1"/>
  <c r="BW8" i="1" s="1"/>
  <c r="BW7" i="1" s="1"/>
  <c r="BV11" i="1"/>
  <c r="BV10" i="1" s="1"/>
  <c r="BV9" i="1" s="1"/>
  <c r="BV8" i="1" s="1"/>
  <c r="BV7" i="1" s="1"/>
  <c r="BV6" i="1" s="1"/>
  <c r="BV5" i="1" s="1"/>
  <c r="BV4" i="1" s="1"/>
  <c r="BV3" i="1" s="1"/>
  <c r="BT11" i="1"/>
  <c r="BT12" i="1" s="1"/>
  <c r="BT13" i="1" s="1"/>
  <c r="BN11" i="1"/>
  <c r="BN12" i="1" s="1"/>
  <c r="BN13" i="1" s="1"/>
  <c r="BN14" i="1" s="1"/>
  <c r="BN15" i="1" s="1"/>
  <c r="BN16" i="1" s="1"/>
  <c r="BN17" i="1" s="1"/>
  <c r="BN18" i="1" s="1"/>
  <c r="BN19" i="1" s="1"/>
  <c r="BN20" i="1" s="1"/>
  <c r="BN21" i="1" s="1"/>
  <c r="BN22" i="1" s="1"/>
  <c r="BN23" i="1" s="1"/>
  <c r="BN24" i="1" s="1"/>
  <c r="BN25" i="1" s="1"/>
  <c r="BN26" i="1" s="1"/>
  <c r="BN27" i="1" s="1"/>
  <c r="BN28" i="1" s="1"/>
  <c r="BN29" i="1" s="1"/>
  <c r="BN30" i="1" s="1"/>
  <c r="BN31" i="1" s="1"/>
  <c r="BN32" i="1" s="1"/>
  <c r="BN33" i="1" s="1"/>
  <c r="BN34" i="1" s="1"/>
  <c r="BN35" i="1" s="1"/>
  <c r="BN36" i="1" s="1"/>
  <c r="BN37" i="1" s="1"/>
  <c r="BN38" i="1" s="1"/>
  <c r="BN39" i="1" s="1"/>
  <c r="CR10" i="1"/>
  <c r="CR9" i="1" s="1"/>
  <c r="CR8" i="1" s="1"/>
  <c r="CR7" i="1" s="1"/>
  <c r="CR6" i="1" s="1"/>
  <c r="CR5" i="1" s="1"/>
  <c r="CR4" i="1" s="1"/>
  <c r="CR3" i="1" s="1"/>
  <c r="CQ10" i="1"/>
  <c r="CQ9" i="1" s="1"/>
  <c r="CG10" i="1"/>
  <c r="CG9" i="1" s="1"/>
  <c r="CA10" i="1"/>
  <c r="CA9" i="1" s="1"/>
  <c r="BU10" i="1"/>
  <c r="BS10" i="1"/>
  <c r="BS11" i="1" s="1"/>
  <c r="BS12" i="1" s="1"/>
  <c r="BS13" i="1" s="1"/>
  <c r="BS14" i="1" s="1"/>
  <c r="BS15" i="1" s="1"/>
  <c r="BS16" i="1" s="1"/>
  <c r="BS17" i="1" s="1"/>
  <c r="BS18" i="1" s="1"/>
  <c r="BS19" i="1" s="1"/>
  <c r="BS20" i="1" s="1"/>
  <c r="BS21" i="1" s="1"/>
  <c r="BS22" i="1" s="1"/>
  <c r="BS23" i="1" s="1"/>
  <c r="BS24" i="1" s="1"/>
  <c r="BS25" i="1" s="1"/>
  <c r="BS26" i="1" s="1"/>
  <c r="BS27" i="1" s="1"/>
  <c r="BS28" i="1" s="1"/>
  <c r="BS29" i="1" s="1"/>
  <c r="BS30" i="1" s="1"/>
  <c r="BS31" i="1" s="1"/>
  <c r="BS32" i="1" s="1"/>
  <c r="BS33" i="1" s="1"/>
  <c r="BS34" i="1" s="1"/>
  <c r="BS35" i="1" s="1"/>
  <c r="BS36" i="1" s="1"/>
  <c r="BS37" i="1" s="1"/>
  <c r="BS38" i="1" s="1"/>
  <c r="BS39" i="1" s="1"/>
  <c r="BR10" i="1"/>
  <c r="BR11" i="1" s="1"/>
  <c r="BR12" i="1" s="1"/>
  <c r="BR13" i="1" s="1"/>
  <c r="BR14" i="1" s="1"/>
  <c r="BP10" i="1"/>
  <c r="BP11" i="1" s="1"/>
  <c r="BP12" i="1" s="1"/>
  <c r="BP13" i="1" s="1"/>
  <c r="BP14" i="1" s="1"/>
  <c r="BP15" i="1" s="1"/>
  <c r="BP16" i="1" s="1"/>
  <c r="BP17" i="1" s="1"/>
  <c r="BP18" i="1" s="1"/>
  <c r="BP19" i="1" s="1"/>
  <c r="BP20" i="1" s="1"/>
  <c r="BP21" i="1" s="1"/>
  <c r="BP22" i="1" s="1"/>
  <c r="BP23" i="1" s="1"/>
  <c r="BP24" i="1" s="1"/>
  <c r="BP25" i="1" s="1"/>
  <c r="BP26" i="1" s="1"/>
  <c r="BP27" i="1" s="1"/>
  <c r="BP28" i="1" s="1"/>
  <c r="BP29" i="1" s="1"/>
  <c r="BP30" i="1" s="1"/>
  <c r="BP31" i="1" s="1"/>
  <c r="BX9" i="1"/>
  <c r="BX8" i="1" s="1"/>
  <c r="BX7" i="1" s="1"/>
  <c r="BX6" i="1" s="1"/>
  <c r="BX5" i="1" s="1"/>
  <c r="BX4" i="1" s="1"/>
  <c r="BX3" i="1" s="1"/>
  <c r="BU9" i="1"/>
  <c r="BU8" i="1" s="1"/>
  <c r="BU7" i="1" s="1"/>
  <c r="BU6" i="1" s="1"/>
  <c r="BU5" i="1" s="1"/>
  <c r="BU4" i="1" s="1"/>
  <c r="BU3" i="1" s="1"/>
  <c r="BT9" i="1"/>
  <c r="BR9" i="1"/>
  <c r="BN9" i="1"/>
  <c r="BN10" i="1" s="1"/>
  <c r="CQ8" i="1"/>
  <c r="CQ7" i="1" s="1"/>
  <c r="CQ6" i="1" s="1"/>
  <c r="CQ5" i="1" s="1"/>
  <c r="CQ4" i="1" s="1"/>
  <c r="CQ3" i="1" s="1"/>
  <c r="CG8" i="1"/>
  <c r="CG7" i="1" s="1"/>
  <c r="CG6" i="1" s="1"/>
  <c r="CG5" i="1" s="1"/>
  <c r="CG4" i="1" s="1"/>
  <c r="CG3" i="1" s="1"/>
  <c r="CA8" i="1"/>
  <c r="BT8" i="1"/>
  <c r="BT7" i="1" s="1"/>
  <c r="BT6" i="1" s="1"/>
  <c r="BT5" i="1" s="1"/>
  <c r="BT4" i="1" s="1"/>
  <c r="BT3" i="1" s="1"/>
  <c r="BS8" i="1"/>
  <c r="BS7" i="1" s="1"/>
  <c r="BQ8" i="1"/>
  <c r="BQ9" i="1" s="1"/>
  <c r="BQ10" i="1" s="1"/>
  <c r="BQ11" i="1" s="1"/>
  <c r="BQ12" i="1" s="1"/>
  <c r="BQ13" i="1" s="1"/>
  <c r="BQ14" i="1" s="1"/>
  <c r="BQ15" i="1" s="1"/>
  <c r="BQ16" i="1" s="1"/>
  <c r="BQ17" i="1" s="1"/>
  <c r="BQ18" i="1" s="1"/>
  <c r="BQ19" i="1" s="1"/>
  <c r="BQ20" i="1" s="1"/>
  <c r="BQ21" i="1" s="1"/>
  <c r="BQ22" i="1" s="1"/>
  <c r="BQ23" i="1" s="1"/>
  <c r="BQ24" i="1" s="1"/>
  <c r="BQ25" i="1" s="1"/>
  <c r="BQ26" i="1" s="1"/>
  <c r="BQ27" i="1" s="1"/>
  <c r="BQ28" i="1" s="1"/>
  <c r="BQ29" i="1" s="1"/>
  <c r="BQ30" i="1" s="1"/>
  <c r="BQ31" i="1" s="1"/>
  <c r="BQ32" i="1" s="1"/>
  <c r="BQ33" i="1" s="1"/>
  <c r="BQ34" i="1" s="1"/>
  <c r="BQ35" i="1" s="1"/>
  <c r="BQ36" i="1" s="1"/>
  <c r="BQ37" i="1" s="1"/>
  <c r="BQ38" i="1" s="1"/>
  <c r="BQ39" i="1" s="1"/>
  <c r="BP8" i="1"/>
  <c r="BP9" i="1" s="1"/>
  <c r="CJ7" i="1"/>
  <c r="CJ6" i="1" s="1"/>
  <c r="CJ5" i="1" s="1"/>
  <c r="CJ4" i="1" s="1"/>
  <c r="CJ3" i="1" s="1"/>
  <c r="CA7" i="1"/>
  <c r="CA6" i="1" s="1"/>
  <c r="CA5" i="1" s="1"/>
  <c r="CA4" i="1" s="1"/>
  <c r="CA3" i="1" s="1"/>
  <c r="BR7" i="1"/>
  <c r="BP7" i="1"/>
  <c r="CO6" i="1"/>
  <c r="CO5" i="1" s="1"/>
  <c r="CO4" i="1" s="1"/>
  <c r="CO3" i="1" s="1"/>
  <c r="BW6" i="1"/>
  <c r="BW5" i="1" s="1"/>
  <c r="BW4" i="1" s="1"/>
  <c r="BW3" i="1" s="1"/>
  <c r="BS6" i="1"/>
  <c r="BS5" i="1" s="1"/>
  <c r="BS4" i="1" s="1"/>
  <c r="BS3" i="1" s="1"/>
  <c r="BR6" i="1"/>
  <c r="BR5" i="1" s="1"/>
  <c r="BR4" i="1" s="1"/>
  <c r="BR3" i="1" s="1"/>
  <c r="BQ6" i="1"/>
  <c r="BQ5" i="1" s="1"/>
  <c r="BQ4" i="1" s="1"/>
  <c r="BQ3" i="1" s="1"/>
  <c r="BO6" i="1"/>
  <c r="BO7" i="1" s="1"/>
  <c r="BO8" i="1" s="1"/>
  <c r="BO9" i="1" s="1"/>
  <c r="BO10" i="1" s="1"/>
  <c r="BO11" i="1" s="1"/>
  <c r="BO12" i="1" s="1"/>
  <c r="BO13" i="1" s="1"/>
  <c r="BO14" i="1" s="1"/>
  <c r="BN6" i="1"/>
  <c r="BN7" i="1" s="1"/>
  <c r="BN8" i="1" s="1"/>
  <c r="BP5" i="1"/>
  <c r="BN5" i="1"/>
  <c r="BP4" i="1"/>
  <c r="BO4" i="1"/>
  <c r="BM4" i="1"/>
  <c r="BM5" i="1" s="1"/>
  <c r="BM6" i="1" s="1"/>
  <c r="BM7" i="1" s="1"/>
  <c r="BM8" i="1" s="1"/>
  <c r="BM9" i="1" s="1"/>
  <c r="BM10" i="1" s="1"/>
  <c r="BM11" i="1" s="1"/>
  <c r="BM12" i="1" s="1"/>
  <c r="BM13" i="1" s="1"/>
  <c r="BM14" i="1" s="1"/>
  <c r="BM15" i="1" s="1"/>
  <c r="BM16" i="1" s="1"/>
  <c r="BM17" i="1" s="1"/>
  <c r="BM18" i="1" s="1"/>
  <c r="BM19" i="1" s="1"/>
  <c r="BM20" i="1" s="1"/>
  <c r="BM21" i="1" s="1"/>
  <c r="BM22" i="1" s="1"/>
  <c r="BM23" i="1" s="1"/>
  <c r="BM24" i="1" s="1"/>
  <c r="BM25" i="1" s="1"/>
  <c r="BM26" i="1" s="1"/>
  <c r="BM27" i="1" s="1"/>
  <c r="BM28" i="1" s="1"/>
  <c r="BM29" i="1" s="1"/>
  <c r="BM30" i="1" s="1"/>
  <c r="BM31" i="1" s="1"/>
  <c r="BM32" i="1" s="1"/>
  <c r="BM33" i="1" s="1"/>
  <c r="BM34" i="1" s="1"/>
  <c r="BM35" i="1" s="1"/>
  <c r="BM36" i="1" s="1"/>
  <c r="BM37" i="1" s="1"/>
  <c r="BM38" i="1" s="1"/>
  <c r="BM39" i="1" s="1"/>
  <c r="CM3" i="1"/>
  <c r="BP3" i="1"/>
  <c r="BO3" i="1"/>
  <c r="BN3" i="1"/>
  <c r="J101" i="2" l="1"/>
  <c r="K101" i="2"/>
  <c r="L101" i="2"/>
  <c r="M101" i="2"/>
  <c r="N101" i="2"/>
  <c r="O101" i="2"/>
  <c r="Q101" i="2"/>
  <c r="R101" i="2"/>
  <c r="S101" i="2"/>
  <c r="U101" i="2"/>
  <c r="V101" i="2"/>
  <c r="W101" i="2"/>
  <c r="X101" i="2"/>
  <c r="C29" i="2" l="1"/>
  <c r="Z5" i="2" l="1"/>
</calcChain>
</file>

<file path=xl/comments1.xml><?xml version="1.0" encoding="utf-8"?>
<comments xmlns="http://schemas.openxmlformats.org/spreadsheetml/2006/main">
  <authors>
    <author>Guillermo Melendez Alonso</author>
  </authors>
  <commentList>
    <comment ref="BL2" authorId="0" shapeId="0">
      <text>
        <r>
          <rPr>
            <b/>
            <sz val="8"/>
            <color indexed="81"/>
            <rFont val="Tahoma"/>
            <family val="2"/>
          </rPr>
          <t>Probabilidad de que el número obtenido no valga.</t>
        </r>
      </text>
    </comment>
    <comment ref="BM2" authorId="0" shapeId="0">
      <text>
        <r>
          <rPr>
            <b/>
            <sz val="8"/>
            <color indexed="81"/>
            <rFont val="Tahoma"/>
            <family val="2"/>
          </rPr>
          <t xml:space="preserve">Núcleo del rozamiento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L3" authorId="0" shapeId="0">
      <text>
        <r>
          <rPr>
            <b/>
            <sz val="8"/>
            <color indexed="81"/>
            <rFont val="Tahoma"/>
            <family val="2"/>
          </rPr>
          <t>Números de la ruleta</t>
        </r>
      </text>
    </comment>
  </commentList>
</comments>
</file>

<file path=xl/sharedStrings.xml><?xml version="1.0" encoding="utf-8"?>
<sst xmlns="http://schemas.openxmlformats.org/spreadsheetml/2006/main" count="142" uniqueCount="74">
  <si>
    <t>1 a 12</t>
  </si>
  <si>
    <t>13 a 24</t>
  </si>
  <si>
    <t>25 a 36</t>
  </si>
  <si>
    <t>1ª COL</t>
  </si>
  <si>
    <t>2ª COL</t>
  </si>
  <si>
    <t>3ª COL</t>
  </si>
  <si>
    <t>1 a 18</t>
  </si>
  <si>
    <t>Par</t>
  </si>
  <si>
    <t>Rojo</t>
  </si>
  <si>
    <t>Negro</t>
  </si>
  <si>
    <t>Impar</t>
  </si>
  <si>
    <t>Si metes pasta en rojo/negro, Par/impar o Sobra/falta y sale "0" no pierdes la apuesta si no que solo te quitan la mitad</t>
  </si>
  <si>
    <t>Este cuadro apuesta a los 4 primeros, es decir a: 0 1 2 3</t>
  </si>
  <si>
    <t>Pleno:</t>
  </si>
  <si>
    <t>Semipleno:</t>
  </si>
  <si>
    <t>1 unico numero apostado</t>
  </si>
  <si>
    <t>2 numeros apostados</t>
  </si>
  <si>
    <t>Trasversal:</t>
  </si>
  <si>
    <t>3 numeros apostados</t>
  </si>
  <si>
    <t>Cuadro:</t>
  </si>
  <si>
    <t>4 numeros apostados</t>
  </si>
  <si>
    <t>Seisena:</t>
  </si>
  <si>
    <t>6 numeros apostados</t>
  </si>
  <si>
    <t>Columnas o docesnas:</t>
  </si>
  <si>
    <t>Suerte sencilla:</t>
  </si>
  <si>
    <t>18 numeros apostados</t>
  </si>
  <si>
    <t>12 numeros apostados</t>
  </si>
  <si>
    <t>19 a 36</t>
  </si>
  <si>
    <t>Premio</t>
  </si>
  <si>
    <t>Tipo apuesta</t>
  </si>
  <si>
    <t>Límite de número individual 500 €</t>
  </si>
  <si>
    <t>24 números apostados</t>
  </si>
  <si>
    <t>Ojo, la apuesta mínima en rojo negro… es de 2 fichas.</t>
  </si>
  <si>
    <t>Tipo de ruleta</t>
  </si>
  <si>
    <t>Sin rozamiento</t>
  </si>
  <si>
    <t>Superior derecha</t>
  </si>
  <si>
    <t>Superior izquierda</t>
  </si>
  <si>
    <t>Inferior derecha</t>
  </si>
  <si>
    <t>Inferior izquierda</t>
  </si>
  <si>
    <t>Cero</t>
  </si>
  <si>
    <t>Triangulación de frecuentes</t>
  </si>
  <si>
    <t>Nº más frecuentes</t>
  </si>
  <si>
    <t>Sí</t>
  </si>
  <si>
    <t>No</t>
  </si>
  <si>
    <t>Resultado de la tirada</t>
  </si>
  <si>
    <t>Apuestas de 1 número</t>
  </si>
  <si>
    <t>Apuestas de 2 números</t>
  </si>
  <si>
    <t>Apuestas de 3 números</t>
  </si>
  <si>
    <t>Apuestas de 4 números</t>
  </si>
  <si>
    <t>Apuestas de 6 números</t>
  </si>
  <si>
    <t>Apuestas de 12 números</t>
  </si>
  <si>
    <t>Apuestas de 18 números</t>
  </si>
  <si>
    <t>Apuestas de 24 números</t>
  </si>
  <si>
    <t>Apuesta</t>
  </si>
  <si>
    <t>Números involucrados.</t>
  </si>
  <si>
    <t>El jugador es humano</t>
  </si>
  <si>
    <t>Generación</t>
  </si>
  <si>
    <t>Inicio</t>
  </si>
  <si>
    <t>Fin</t>
  </si>
  <si>
    <t>Tiempo</t>
  </si>
  <si>
    <t>Porcentaje de la ruleta en donde gano dinero</t>
  </si>
  <si>
    <t>Porcentaje de la ruleta en donde pierdo dinero</t>
  </si>
  <si>
    <t>Porcentaje de la ruleta en donde ni gano ni pierdo dinero</t>
  </si>
  <si>
    <t>Dinero disponible</t>
  </si>
  <si>
    <t>Perfil de riesgo</t>
  </si>
  <si>
    <t>A qué apostamos y cuanto</t>
  </si>
  <si>
    <t>Pda máxima (peor ronda de 100 apuestas)</t>
  </si>
  <si>
    <t>Histo</t>
  </si>
  <si>
    <t>Analizar jugada humana</t>
  </si>
  <si>
    <t>Rdo acumulado tras 10.000 veces 100 tiradas</t>
  </si>
  <si>
    <t xml:space="preserve">Número de rondas de 100 tiradas con beneficio </t>
  </si>
  <si>
    <t>Número de rondas de 100 tiradas con pérdida</t>
  </si>
  <si>
    <t>Beneficio medio (de las rondas con beneficio)</t>
  </si>
  <si>
    <t>Pérdida media (de las rondas con pérdida)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</si>
</sst>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,##0.0\ &quot;€&quot;"/>
    <numFmt numFmtId="165" formatCode="0.0"/>
    <numFmt numFmtId="166" formatCode="0.0%"/>
    <numFmt numFmtId="167" formatCode="[$-F400]h:mm:ss\ AM/PM"/>
    <numFmt numFmtId="168" formatCode="h:mm;@"/>
    <numFmt numFmtId="169" formatCode="#,##0.0"/>
  </numFmts>
  <fonts count="21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6"/>
      <color rgb="FF000000"/>
      <name val="Calibri"/>
      <family val="2"/>
    </font>
    <font>
      <sz val="14"/>
      <color rgb="FF000000"/>
      <name val="Calibri"/>
      <family val="2"/>
    </font>
    <font>
      <b/>
      <sz val="14"/>
      <color rgb="FFF8F8F8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B05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8F8F8"/>
      <name val="Calibri"/>
      <family val="2"/>
      <scheme val="minor"/>
    </font>
    <font>
      <b/>
      <sz val="14"/>
      <color rgb="FFFFFF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00B0F0"/>
      </bottom>
      <diagonal/>
    </border>
    <border>
      <left/>
      <right/>
      <top/>
      <bottom style="medium">
        <color rgb="FF92D050"/>
      </bottom>
      <diagonal/>
    </border>
    <border>
      <left/>
      <right/>
      <top/>
      <bottom style="medium">
        <color rgb="FFFFFF00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4" borderId="5" xfId="0" applyFont="1" applyFill="1" applyBorder="1"/>
    <xf numFmtId="0" fontId="0" fillId="0" borderId="6" xfId="0" applyBorder="1"/>
    <xf numFmtId="0" fontId="2" fillId="2" borderId="6" xfId="0" applyFont="1" applyFill="1" applyBorder="1"/>
    <xf numFmtId="0" fontId="2" fillId="3" borderId="6" xfId="0" applyFont="1" applyFill="1" applyBorder="1"/>
    <xf numFmtId="0" fontId="1" fillId="4" borderId="7" xfId="0" applyFont="1" applyFill="1" applyBorder="1"/>
    <xf numFmtId="0" fontId="0" fillId="0" borderId="0" xfId="0" applyBorder="1"/>
    <xf numFmtId="0" fontId="2" fillId="4" borderId="7" xfId="0" applyFont="1" applyFill="1" applyBorder="1"/>
    <xf numFmtId="0" fontId="2" fillId="3" borderId="0" xfId="0" applyFont="1" applyFill="1" applyBorder="1"/>
    <xf numFmtId="0" fontId="2" fillId="2" borderId="0" xfId="0" applyFont="1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8" xfId="0" applyFill="1" applyBorder="1"/>
    <xf numFmtId="0" fontId="0" fillId="0" borderId="10" xfId="0" applyBorder="1"/>
    <xf numFmtId="0" fontId="0" fillId="5" borderId="10" xfId="0" applyFill="1" applyBorder="1"/>
    <xf numFmtId="0" fontId="2" fillId="2" borderId="10" xfId="0" applyFont="1" applyFill="1" applyBorder="1"/>
    <xf numFmtId="0" fontId="2" fillId="3" borderId="10" xfId="0" applyFont="1" applyFill="1" applyBorder="1"/>
    <xf numFmtId="0" fontId="0" fillId="5" borderId="9" xfId="0" applyFill="1" applyBorder="1"/>
    <xf numFmtId="0" fontId="0" fillId="5" borderId="11" xfId="0" applyFill="1" applyBorder="1"/>
    <xf numFmtId="0" fontId="3" fillId="0" borderId="4" xfId="0" applyFont="1" applyBorder="1"/>
    <xf numFmtId="0" fontId="3" fillId="0" borderId="8" xfId="0" applyFont="1" applyBorder="1"/>
    <xf numFmtId="0" fontId="0" fillId="6" borderId="0" xfId="0" applyFill="1" applyBorder="1"/>
    <xf numFmtId="0" fontId="0" fillId="6" borderId="0" xfId="0" applyFill="1"/>
    <xf numFmtId="0" fontId="4" fillId="8" borderId="0" xfId="0" applyFont="1" applyFill="1"/>
    <xf numFmtId="0" fontId="0" fillId="5" borderId="6" xfId="0" applyFill="1" applyBorder="1"/>
    <xf numFmtId="0" fontId="5" fillId="0" borderId="0" xfId="0" applyFont="1"/>
    <xf numFmtId="0" fontId="0" fillId="0" borderId="0" xfId="0" quotePrefix="1"/>
    <xf numFmtId="0" fontId="0" fillId="0" borderId="0" xfId="0" applyFill="1"/>
    <xf numFmtId="0" fontId="4" fillId="8" borderId="0" xfId="0" applyFont="1" applyFill="1" applyAlignment="1">
      <alignment horizontal="center"/>
    </xf>
    <xf numFmtId="0" fontId="0" fillId="10" borderId="0" xfId="0" applyFill="1"/>
    <xf numFmtId="0" fontId="0" fillId="0" borderId="4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7" borderId="0" xfId="0" applyFill="1" applyAlignment="1">
      <alignment horizontal="center"/>
    </xf>
    <xf numFmtId="0" fontId="0" fillId="10" borderId="0" xfId="0" applyFill="1" applyAlignment="1">
      <alignment horizontal="center"/>
    </xf>
    <xf numFmtId="10" fontId="9" fillId="8" borderId="0" xfId="0" applyNumberFormat="1" applyFont="1" applyFill="1" applyAlignment="1">
      <alignment horizontal="center"/>
    </xf>
    <xf numFmtId="0" fontId="10" fillId="4" borderId="18" xfId="0" applyFont="1" applyFill="1" applyBorder="1"/>
    <xf numFmtId="0" fontId="10" fillId="2" borderId="12" xfId="0" applyFont="1" applyFill="1" applyBorder="1"/>
    <xf numFmtId="0" fontId="10" fillId="3" borderId="12" xfId="0" applyFont="1" applyFill="1" applyBorder="1"/>
    <xf numFmtId="0" fontId="3" fillId="7" borderId="0" xfId="0" applyFont="1" applyFill="1"/>
    <xf numFmtId="0" fontId="10" fillId="4" borderId="14" xfId="0" applyFont="1" applyFill="1" applyBorder="1"/>
    <xf numFmtId="10" fontId="3" fillId="9" borderId="0" xfId="0" applyNumberFormat="1" applyFont="1" applyFill="1"/>
    <xf numFmtId="10" fontId="3" fillId="7" borderId="0" xfId="0" applyNumberFormat="1" applyFont="1" applyFill="1"/>
    <xf numFmtId="10" fontId="3" fillId="7" borderId="0" xfId="0" applyNumberFormat="1" applyFont="1" applyFill="1" applyBorder="1"/>
    <xf numFmtId="10" fontId="9" fillId="3" borderId="0" xfId="0" applyNumberFormat="1" applyFont="1" applyFill="1" applyBorder="1"/>
    <xf numFmtId="10" fontId="9" fillId="3" borderId="0" xfId="0" applyNumberFormat="1" applyFont="1" applyFill="1"/>
    <xf numFmtId="0" fontId="10" fillId="2" borderId="14" xfId="0" applyFont="1" applyFill="1" applyBorder="1"/>
    <xf numFmtId="0" fontId="10" fillId="3" borderId="14" xfId="0" applyFont="1" applyFill="1" applyBorder="1"/>
    <xf numFmtId="10" fontId="3" fillId="9" borderId="0" xfId="0" applyNumberFormat="1" applyFont="1" applyFill="1" applyBorder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/>
    </xf>
    <xf numFmtId="0" fontId="13" fillId="2" borderId="6" xfId="0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0" fontId="14" fillId="10" borderId="0" xfId="0" applyFont="1" applyFill="1"/>
    <xf numFmtId="0" fontId="0" fillId="7" borderId="0" xfId="0" applyFill="1" applyAlignment="1">
      <alignment horizontal="center" vertical="center"/>
    </xf>
    <xf numFmtId="10" fontId="15" fillId="10" borderId="0" xfId="0" applyNumberFormat="1" applyFont="1" applyFill="1"/>
    <xf numFmtId="0" fontId="4" fillId="8" borderId="0" xfId="0" applyFont="1" applyFill="1" applyAlignment="1">
      <alignment horizontal="center"/>
    </xf>
    <xf numFmtId="0" fontId="4" fillId="3" borderId="6" xfId="0" applyFont="1" applyFill="1" applyBorder="1"/>
    <xf numFmtId="0" fontId="4" fillId="3" borderId="0" xfId="0" applyFont="1" applyFill="1" applyBorder="1"/>
    <xf numFmtId="0" fontId="4" fillId="3" borderId="13" xfId="0" applyFont="1" applyFill="1" applyBorder="1"/>
    <xf numFmtId="0" fontId="4" fillId="3" borderId="8" xfId="0" applyFont="1" applyFill="1" applyBorder="1"/>
    <xf numFmtId="0" fontId="4" fillId="5" borderId="8" xfId="0" applyFont="1" applyFill="1" applyBorder="1"/>
    <xf numFmtId="0" fontId="4" fillId="5" borderId="0" xfId="0" applyFont="1" applyFill="1"/>
    <xf numFmtId="0" fontId="4" fillId="5" borderId="7" xfId="0" applyFont="1" applyFill="1" applyBorder="1"/>
    <xf numFmtId="0" fontId="4" fillId="5" borderId="9" xfId="0" applyFont="1" applyFill="1" applyBorder="1"/>
    <xf numFmtId="0" fontId="4" fillId="5" borderId="10" xfId="0" applyFont="1" applyFill="1" applyBorder="1"/>
    <xf numFmtId="0" fontId="4" fillId="5" borderId="11" xfId="0" applyFont="1" applyFill="1" applyBorder="1"/>
    <xf numFmtId="0" fontId="4" fillId="8" borderId="0" xfId="0" applyFont="1" applyFill="1" applyAlignment="1"/>
    <xf numFmtId="164" fontId="0" fillId="7" borderId="0" xfId="0" applyNumberFormat="1" applyFill="1" applyAlignment="1">
      <alignment horizontal="center"/>
    </xf>
    <xf numFmtId="0" fontId="15" fillId="10" borderId="0" xfId="0" applyFont="1" applyFill="1" applyAlignment="1">
      <alignment horizontal="left"/>
    </xf>
    <xf numFmtId="0" fontId="15" fillId="10" borderId="0" xfId="0" applyFont="1" applyFill="1"/>
    <xf numFmtId="166" fontId="18" fillId="10" borderId="0" xfId="0" applyNumberFormat="1" applyFont="1" applyFill="1"/>
    <xf numFmtId="168" fontId="3" fillId="10" borderId="0" xfId="0" applyNumberFormat="1" applyFont="1" applyFill="1" applyAlignment="1">
      <alignment horizontal="right"/>
    </xf>
    <xf numFmtId="167" fontId="3" fillId="10" borderId="0" xfId="0" applyNumberFormat="1" applyFont="1" applyFill="1" applyAlignment="1">
      <alignment horizontal="right"/>
    </xf>
    <xf numFmtId="0" fontId="4" fillId="8" borderId="0" xfId="0" applyFont="1" applyFill="1" applyAlignment="1">
      <alignment horizontal="center"/>
    </xf>
    <xf numFmtId="0" fontId="5" fillId="10" borderId="0" xfId="0" applyFont="1" applyFill="1"/>
    <xf numFmtId="165" fontId="0" fillId="10" borderId="0" xfId="0" applyNumberFormat="1" applyFill="1"/>
    <xf numFmtId="0" fontId="0" fillId="10" borderId="0" xfId="0" applyFont="1" applyFill="1"/>
    <xf numFmtId="3" fontId="0" fillId="10" borderId="0" xfId="0" applyNumberFormat="1" applyFill="1"/>
    <xf numFmtId="0" fontId="17" fillId="10" borderId="0" xfId="0" applyFont="1" applyFill="1"/>
    <xf numFmtId="9" fontId="0" fillId="10" borderId="0" xfId="0" applyNumberFormat="1" applyFill="1"/>
    <xf numFmtId="0" fontId="4" fillId="8" borderId="0" xfId="0" applyFont="1" applyFill="1" applyAlignment="1">
      <alignment horizontal="left"/>
    </xf>
    <xf numFmtId="9" fontId="3" fillId="7" borderId="0" xfId="0" applyNumberFormat="1" applyFont="1" applyFill="1"/>
    <xf numFmtId="9" fontId="3" fillId="10" borderId="0" xfId="0" applyNumberFormat="1" applyFont="1" applyFill="1"/>
    <xf numFmtId="3" fontId="16" fillId="7" borderId="0" xfId="0" applyNumberFormat="1" applyFont="1" applyFill="1"/>
    <xf numFmtId="0" fontId="9" fillId="8" borderId="0" xfId="0" applyFont="1" applyFill="1" applyAlignment="1">
      <alignment horizontal="left"/>
    </xf>
    <xf numFmtId="3" fontId="0" fillId="7" borderId="0" xfId="0" applyNumberFormat="1" applyFill="1" applyAlignment="1">
      <alignment horizontal="center"/>
    </xf>
    <xf numFmtId="165" fontId="19" fillId="2" borderId="0" xfId="0" applyNumberFormat="1" applyFont="1" applyFill="1" applyBorder="1" applyAlignment="1">
      <alignment horizontal="center" vertical="center"/>
    </xf>
    <xf numFmtId="165" fontId="19" fillId="3" borderId="0" xfId="0" applyNumberFormat="1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/>
    </xf>
    <xf numFmtId="3" fontId="16" fillId="7" borderId="0" xfId="0" applyNumberFormat="1" applyFont="1" applyFill="1" applyAlignment="1">
      <alignment horizontal="center"/>
    </xf>
    <xf numFmtId="169" fontId="16" fillId="7" borderId="0" xfId="0" applyNumberFormat="1" applyFont="1" applyFill="1" applyAlignment="1">
      <alignment horizontal="center"/>
    </xf>
    <xf numFmtId="165" fontId="19" fillId="3" borderId="19" xfId="0" applyNumberFormat="1" applyFont="1" applyFill="1" applyBorder="1" applyAlignment="1">
      <alignment horizontal="center" vertical="center"/>
    </xf>
    <xf numFmtId="165" fontId="19" fillId="2" borderId="19" xfId="0" applyNumberFormat="1" applyFont="1" applyFill="1" applyBorder="1" applyAlignment="1">
      <alignment horizontal="center" vertical="center"/>
    </xf>
    <xf numFmtId="165" fontId="19" fillId="2" borderId="20" xfId="0" applyNumberFormat="1" applyFont="1" applyFill="1" applyBorder="1" applyAlignment="1">
      <alignment horizontal="center" vertical="center"/>
    </xf>
    <xf numFmtId="165" fontId="19" fillId="3" borderId="20" xfId="0" applyNumberFormat="1" applyFont="1" applyFill="1" applyBorder="1" applyAlignment="1">
      <alignment horizontal="center" vertical="center"/>
    </xf>
    <xf numFmtId="165" fontId="19" fillId="2" borderId="21" xfId="0" applyNumberFormat="1" applyFont="1" applyFill="1" applyBorder="1" applyAlignment="1">
      <alignment horizontal="center" vertical="center"/>
    </xf>
    <xf numFmtId="165" fontId="19" fillId="3" borderId="21" xfId="0" applyNumberFormat="1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/>
    </xf>
    <xf numFmtId="165" fontId="15" fillId="10" borderId="0" xfId="0" applyNumberFormat="1" applyFont="1" applyFill="1"/>
    <xf numFmtId="0" fontId="15" fillId="10" borderId="0" xfId="0" applyFont="1" applyFill="1" applyAlignment="1">
      <alignment horizontal="right"/>
    </xf>
    <xf numFmtId="3" fontId="3" fillId="7" borderId="0" xfId="0" applyNumberFormat="1" applyFont="1" applyFill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165" fontId="19" fillId="4" borderId="0" xfId="0" applyNumberFormat="1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4" fillId="8" borderId="10" xfId="0" applyFont="1" applyFill="1" applyBorder="1" applyAlignment="1">
      <alignment horizontal="center"/>
    </xf>
    <xf numFmtId="0" fontId="13" fillId="4" borderId="15" xfId="0" applyFont="1" applyFill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0" fontId="20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Histograma de resultados</a:t>
            </a:r>
            <a:r>
              <a:rPr lang="en-US" baseline="0"/>
              <a:t> tras 10.000 veces 100 tiradas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Ruleta!$AK$2</c:f>
              <c:strCache>
                <c:ptCount val="1"/>
                <c:pt idx="0">
                  <c:v>Histo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Ruleta!$AJ$3:$AJ$102</c:f>
              <c:numCache>
                <c:formatCode>#,##0</c:formatCode>
                <c:ptCount val="100"/>
                <c:pt idx="0">
                  <c:v>-925</c:v>
                </c:pt>
                <c:pt idx="1">
                  <c:v>-906.4</c:v>
                </c:pt>
                <c:pt idx="2">
                  <c:v>-887.8</c:v>
                </c:pt>
                <c:pt idx="3">
                  <c:v>-869.19999999999993</c:v>
                </c:pt>
                <c:pt idx="4">
                  <c:v>-850.59999999999991</c:v>
                </c:pt>
                <c:pt idx="5">
                  <c:v>-831.99999999999989</c:v>
                </c:pt>
                <c:pt idx="6">
                  <c:v>-813.39999999999986</c:v>
                </c:pt>
                <c:pt idx="7">
                  <c:v>-794.79999999999984</c:v>
                </c:pt>
                <c:pt idx="8">
                  <c:v>-776.19999999999982</c:v>
                </c:pt>
                <c:pt idx="9">
                  <c:v>-757.5999999999998</c:v>
                </c:pt>
                <c:pt idx="10">
                  <c:v>-738.99999999999977</c:v>
                </c:pt>
                <c:pt idx="11">
                  <c:v>-720.39999999999975</c:v>
                </c:pt>
                <c:pt idx="12">
                  <c:v>-701.79999999999973</c:v>
                </c:pt>
                <c:pt idx="13">
                  <c:v>-683.1999999999997</c:v>
                </c:pt>
                <c:pt idx="14">
                  <c:v>-664.59999999999968</c:v>
                </c:pt>
                <c:pt idx="15">
                  <c:v>-645.99999999999966</c:v>
                </c:pt>
                <c:pt idx="16">
                  <c:v>-627.39999999999964</c:v>
                </c:pt>
                <c:pt idx="17">
                  <c:v>-608.79999999999961</c:v>
                </c:pt>
                <c:pt idx="18">
                  <c:v>-590.19999999999959</c:v>
                </c:pt>
                <c:pt idx="19">
                  <c:v>-571.59999999999957</c:v>
                </c:pt>
                <c:pt idx="20">
                  <c:v>-552.99999999999955</c:v>
                </c:pt>
                <c:pt idx="21">
                  <c:v>-534.39999999999952</c:v>
                </c:pt>
                <c:pt idx="22">
                  <c:v>-515.7999999999995</c:v>
                </c:pt>
                <c:pt idx="23">
                  <c:v>-497.19999999999948</c:v>
                </c:pt>
                <c:pt idx="24">
                  <c:v>-478.59999999999945</c:v>
                </c:pt>
                <c:pt idx="25">
                  <c:v>-459.99999999999943</c:v>
                </c:pt>
                <c:pt idx="26">
                  <c:v>-441.39999999999941</c:v>
                </c:pt>
                <c:pt idx="27">
                  <c:v>-422.79999999999939</c:v>
                </c:pt>
                <c:pt idx="28">
                  <c:v>-404.19999999999936</c:v>
                </c:pt>
                <c:pt idx="29">
                  <c:v>-385.59999999999934</c:v>
                </c:pt>
                <c:pt idx="30">
                  <c:v>-366.99999999999932</c:v>
                </c:pt>
                <c:pt idx="31">
                  <c:v>-348.3999999999993</c:v>
                </c:pt>
                <c:pt idx="32">
                  <c:v>-329.79999999999927</c:v>
                </c:pt>
                <c:pt idx="33">
                  <c:v>-311.19999999999925</c:v>
                </c:pt>
                <c:pt idx="34">
                  <c:v>-292.59999999999923</c:v>
                </c:pt>
                <c:pt idx="35">
                  <c:v>-273.9999999999992</c:v>
                </c:pt>
                <c:pt idx="36">
                  <c:v>-255.39999999999921</c:v>
                </c:pt>
                <c:pt idx="37">
                  <c:v>-236.79999999999922</c:v>
                </c:pt>
                <c:pt idx="38">
                  <c:v>-218.19999999999922</c:v>
                </c:pt>
                <c:pt idx="39">
                  <c:v>-199.59999999999923</c:v>
                </c:pt>
                <c:pt idx="40">
                  <c:v>-180.99999999999923</c:v>
                </c:pt>
                <c:pt idx="41">
                  <c:v>-162.39999999999924</c:v>
                </c:pt>
                <c:pt idx="42">
                  <c:v>-143.79999999999924</c:v>
                </c:pt>
                <c:pt idx="43">
                  <c:v>-125.19999999999925</c:v>
                </c:pt>
                <c:pt idx="44">
                  <c:v>-106.59999999999926</c:v>
                </c:pt>
                <c:pt idx="45">
                  <c:v>-87.999999999999261</c:v>
                </c:pt>
                <c:pt idx="46">
                  <c:v>-69.399999999999267</c:v>
                </c:pt>
                <c:pt idx="47">
                  <c:v>-50.799999999999265</c:v>
                </c:pt>
                <c:pt idx="48">
                  <c:v>-32.199999999999264</c:v>
                </c:pt>
                <c:pt idx="49">
                  <c:v>-13.599999999999262</c:v>
                </c:pt>
                <c:pt idx="50">
                  <c:v>5.000000000000739</c:v>
                </c:pt>
                <c:pt idx="51">
                  <c:v>23.60000000000074</c:v>
                </c:pt>
                <c:pt idx="52">
                  <c:v>42.200000000000742</c:v>
                </c:pt>
                <c:pt idx="53">
                  <c:v>60.800000000000743</c:v>
                </c:pt>
                <c:pt idx="54">
                  <c:v>79.400000000000745</c:v>
                </c:pt>
                <c:pt idx="55">
                  <c:v>98.000000000000739</c:v>
                </c:pt>
                <c:pt idx="56">
                  <c:v>116.60000000000073</c:v>
                </c:pt>
                <c:pt idx="57">
                  <c:v>135.20000000000073</c:v>
                </c:pt>
                <c:pt idx="58">
                  <c:v>153.80000000000072</c:v>
                </c:pt>
                <c:pt idx="59">
                  <c:v>172.40000000000072</c:v>
                </c:pt>
                <c:pt idx="60">
                  <c:v>191.00000000000071</c:v>
                </c:pt>
                <c:pt idx="61">
                  <c:v>209.6000000000007</c:v>
                </c:pt>
                <c:pt idx="62">
                  <c:v>228.2000000000007</c:v>
                </c:pt>
                <c:pt idx="63">
                  <c:v>246.80000000000069</c:v>
                </c:pt>
                <c:pt idx="64">
                  <c:v>265.40000000000072</c:v>
                </c:pt>
                <c:pt idx="65">
                  <c:v>284.00000000000074</c:v>
                </c:pt>
                <c:pt idx="66">
                  <c:v>302.60000000000076</c:v>
                </c:pt>
                <c:pt idx="67">
                  <c:v>321.20000000000078</c:v>
                </c:pt>
                <c:pt idx="68">
                  <c:v>339.80000000000081</c:v>
                </c:pt>
                <c:pt idx="69">
                  <c:v>358.40000000000083</c:v>
                </c:pt>
                <c:pt idx="70">
                  <c:v>377.00000000000085</c:v>
                </c:pt>
                <c:pt idx="71">
                  <c:v>395.60000000000088</c:v>
                </c:pt>
                <c:pt idx="72">
                  <c:v>414.2000000000009</c:v>
                </c:pt>
                <c:pt idx="73">
                  <c:v>432.80000000000092</c:v>
                </c:pt>
                <c:pt idx="74">
                  <c:v>451.40000000000094</c:v>
                </c:pt>
                <c:pt idx="75">
                  <c:v>470.00000000000097</c:v>
                </c:pt>
                <c:pt idx="76">
                  <c:v>488.60000000000099</c:v>
                </c:pt>
                <c:pt idx="77">
                  <c:v>507.20000000000101</c:v>
                </c:pt>
                <c:pt idx="78">
                  <c:v>525.80000000000098</c:v>
                </c:pt>
                <c:pt idx="79">
                  <c:v>544.400000000001</c:v>
                </c:pt>
                <c:pt idx="80">
                  <c:v>563.00000000000102</c:v>
                </c:pt>
                <c:pt idx="81">
                  <c:v>581.60000000000105</c:v>
                </c:pt>
                <c:pt idx="82">
                  <c:v>600.20000000000107</c:v>
                </c:pt>
                <c:pt idx="83">
                  <c:v>618.80000000000109</c:v>
                </c:pt>
                <c:pt idx="84">
                  <c:v>637.40000000000111</c:v>
                </c:pt>
                <c:pt idx="85">
                  <c:v>656.00000000000114</c:v>
                </c:pt>
                <c:pt idx="86">
                  <c:v>674.60000000000116</c:v>
                </c:pt>
                <c:pt idx="87">
                  <c:v>693.20000000000118</c:v>
                </c:pt>
                <c:pt idx="88">
                  <c:v>711.80000000000121</c:v>
                </c:pt>
                <c:pt idx="89">
                  <c:v>730.40000000000123</c:v>
                </c:pt>
                <c:pt idx="90">
                  <c:v>749.00000000000125</c:v>
                </c:pt>
                <c:pt idx="91">
                  <c:v>767.60000000000127</c:v>
                </c:pt>
                <c:pt idx="92">
                  <c:v>786.2000000000013</c:v>
                </c:pt>
                <c:pt idx="93">
                  <c:v>804.80000000000132</c:v>
                </c:pt>
                <c:pt idx="94">
                  <c:v>823.40000000000134</c:v>
                </c:pt>
                <c:pt idx="95">
                  <c:v>842.00000000000136</c:v>
                </c:pt>
                <c:pt idx="96">
                  <c:v>860.60000000000139</c:v>
                </c:pt>
                <c:pt idx="97">
                  <c:v>879.20000000000141</c:v>
                </c:pt>
                <c:pt idx="98">
                  <c:v>897.80000000000143</c:v>
                </c:pt>
                <c:pt idx="99">
                  <c:v>935</c:v>
                </c:pt>
              </c:numCache>
            </c:numRef>
          </c:cat>
          <c:val>
            <c:numRef>
              <c:f>Ruleta!$AK$3:$AK$102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8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6</c:v>
                </c:pt>
                <c:pt idx="13">
                  <c:v>11</c:v>
                </c:pt>
                <c:pt idx="14">
                  <c:v>7</c:v>
                </c:pt>
                <c:pt idx="15">
                  <c:v>10</c:v>
                </c:pt>
                <c:pt idx="16">
                  <c:v>27</c:v>
                </c:pt>
                <c:pt idx="17">
                  <c:v>24</c:v>
                </c:pt>
                <c:pt idx="18">
                  <c:v>24</c:v>
                </c:pt>
                <c:pt idx="19">
                  <c:v>20</c:v>
                </c:pt>
                <c:pt idx="20">
                  <c:v>77</c:v>
                </c:pt>
                <c:pt idx="21">
                  <c:v>36</c:v>
                </c:pt>
                <c:pt idx="22">
                  <c:v>24</c:v>
                </c:pt>
                <c:pt idx="23">
                  <c:v>53</c:v>
                </c:pt>
                <c:pt idx="24">
                  <c:v>88</c:v>
                </c:pt>
                <c:pt idx="25">
                  <c:v>54</c:v>
                </c:pt>
                <c:pt idx="26">
                  <c:v>75</c:v>
                </c:pt>
                <c:pt idx="27">
                  <c:v>74</c:v>
                </c:pt>
                <c:pt idx="28">
                  <c:v>85</c:v>
                </c:pt>
                <c:pt idx="29">
                  <c:v>175</c:v>
                </c:pt>
                <c:pt idx="30">
                  <c:v>85</c:v>
                </c:pt>
                <c:pt idx="31">
                  <c:v>138</c:v>
                </c:pt>
                <c:pt idx="32">
                  <c:v>103</c:v>
                </c:pt>
                <c:pt idx="33">
                  <c:v>294</c:v>
                </c:pt>
                <c:pt idx="34">
                  <c:v>178</c:v>
                </c:pt>
                <c:pt idx="35">
                  <c:v>185</c:v>
                </c:pt>
                <c:pt idx="36">
                  <c:v>167</c:v>
                </c:pt>
                <c:pt idx="37">
                  <c:v>332</c:v>
                </c:pt>
                <c:pt idx="38">
                  <c:v>258</c:v>
                </c:pt>
                <c:pt idx="39">
                  <c:v>214</c:v>
                </c:pt>
                <c:pt idx="40">
                  <c:v>223</c:v>
                </c:pt>
                <c:pt idx="41">
                  <c:v>489</c:v>
                </c:pt>
                <c:pt idx="42">
                  <c:v>254</c:v>
                </c:pt>
                <c:pt idx="43">
                  <c:v>284</c:v>
                </c:pt>
                <c:pt idx="44">
                  <c:v>230</c:v>
                </c:pt>
                <c:pt idx="45">
                  <c:v>541</c:v>
                </c:pt>
                <c:pt idx="46">
                  <c:v>255</c:v>
                </c:pt>
                <c:pt idx="47">
                  <c:v>277</c:v>
                </c:pt>
                <c:pt idx="48">
                  <c:v>302</c:v>
                </c:pt>
                <c:pt idx="49">
                  <c:v>565</c:v>
                </c:pt>
                <c:pt idx="50">
                  <c:v>231</c:v>
                </c:pt>
                <c:pt idx="51">
                  <c:v>274</c:v>
                </c:pt>
                <c:pt idx="52">
                  <c:v>222</c:v>
                </c:pt>
                <c:pt idx="53">
                  <c:v>243</c:v>
                </c:pt>
                <c:pt idx="54">
                  <c:v>505</c:v>
                </c:pt>
                <c:pt idx="55">
                  <c:v>220</c:v>
                </c:pt>
                <c:pt idx="56">
                  <c:v>223</c:v>
                </c:pt>
                <c:pt idx="57">
                  <c:v>225</c:v>
                </c:pt>
                <c:pt idx="58">
                  <c:v>303</c:v>
                </c:pt>
                <c:pt idx="59">
                  <c:v>137</c:v>
                </c:pt>
                <c:pt idx="60">
                  <c:v>136</c:v>
                </c:pt>
                <c:pt idx="61">
                  <c:v>150</c:v>
                </c:pt>
                <c:pt idx="62">
                  <c:v>210</c:v>
                </c:pt>
                <c:pt idx="63">
                  <c:v>82</c:v>
                </c:pt>
                <c:pt idx="64">
                  <c:v>71</c:v>
                </c:pt>
                <c:pt idx="65">
                  <c:v>87</c:v>
                </c:pt>
                <c:pt idx="66">
                  <c:v>109</c:v>
                </c:pt>
                <c:pt idx="67">
                  <c:v>40</c:v>
                </c:pt>
                <c:pt idx="68">
                  <c:v>50</c:v>
                </c:pt>
                <c:pt idx="69">
                  <c:v>29</c:v>
                </c:pt>
                <c:pt idx="70">
                  <c:v>62</c:v>
                </c:pt>
                <c:pt idx="71">
                  <c:v>28</c:v>
                </c:pt>
                <c:pt idx="72">
                  <c:v>23</c:v>
                </c:pt>
                <c:pt idx="73">
                  <c:v>15</c:v>
                </c:pt>
                <c:pt idx="74">
                  <c:v>19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1</c:v>
                </c:pt>
                <c:pt idx="79">
                  <c:v>5</c:v>
                </c:pt>
                <c:pt idx="80">
                  <c:v>2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3460832"/>
        <c:axId val="503451032"/>
      </c:barChart>
      <c:catAx>
        <c:axId val="503460832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3451032"/>
        <c:crosses val="autoZero"/>
        <c:auto val="1"/>
        <c:lblAlgn val="ctr"/>
        <c:lblOffset val="100"/>
        <c:noMultiLvlLbl val="0"/>
      </c:catAx>
      <c:valAx>
        <c:axId val="503451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346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123825</xdr:colOff>
          <xdr:row>2</xdr:row>
          <xdr:rowOff>38100</xdr:rowOff>
        </xdr:from>
        <xdr:to>
          <xdr:col>21</xdr:col>
          <xdr:colOff>142875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000000"/>
                  </a:solidFill>
                  <a:latin typeface="Calibri"/>
                </a:rPr>
                <a:t>Jugar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123825</xdr:colOff>
          <xdr:row>4</xdr:row>
          <xdr:rowOff>66675</xdr:rowOff>
        </xdr:from>
        <xdr:to>
          <xdr:col>22</xdr:col>
          <xdr:colOff>390525</xdr:colOff>
          <xdr:row>5</xdr:row>
          <xdr:rowOff>161925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</a:rPr>
                <a:t>Limpiar apuestas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100011</xdr:colOff>
      <xdr:row>17</xdr:row>
      <xdr:rowOff>4761</xdr:rowOff>
    </xdr:from>
    <xdr:to>
      <xdr:col>29</xdr:col>
      <xdr:colOff>304800</xdr:colOff>
      <xdr:row>34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BF102"/>
  <sheetViews>
    <sheetView tabSelected="1" topLeftCell="A4" workbookViewId="0">
      <selection activeCell="E33" sqref="E33"/>
    </sheetView>
  </sheetViews>
  <sheetFormatPr baseColWidth="10" defaultRowHeight="15" x14ac:dyDescent="0.25"/>
  <cols>
    <col min="1" max="1" width="5.85546875" style="32" bestFit="1" customWidth="1"/>
    <col min="2" max="2" width="64" style="32" bestFit="1" customWidth="1"/>
    <col min="3" max="3" width="8.28515625" style="32" bestFit="1" customWidth="1"/>
    <col min="4" max="52" width="6.28515625" style="32" customWidth="1"/>
    <col min="53" max="53" width="6" style="32" customWidth="1"/>
    <col min="54" max="54" width="6" style="32" bestFit="1" customWidth="1"/>
    <col min="55" max="55" width="7.42578125" style="32" customWidth="1"/>
    <col min="56" max="16384" width="11.42578125" style="32"/>
  </cols>
  <sheetData>
    <row r="1" spans="2:56" ht="15.75" thickBot="1" x14ac:dyDescent="0.3"/>
    <row r="2" spans="2:56" ht="19.5" thickBot="1" x14ac:dyDescent="0.35">
      <c r="B2" s="31" t="s">
        <v>33</v>
      </c>
      <c r="D2" s="136">
        <v>0</v>
      </c>
      <c r="E2" s="67">
        <v>3</v>
      </c>
      <c r="F2" s="69">
        <v>6</v>
      </c>
      <c r="G2" s="67">
        <v>9</v>
      </c>
      <c r="H2" s="67">
        <v>12</v>
      </c>
      <c r="I2" s="69">
        <v>15</v>
      </c>
      <c r="J2" s="67">
        <v>18</v>
      </c>
      <c r="K2" s="67">
        <v>21</v>
      </c>
      <c r="L2" s="69">
        <v>24</v>
      </c>
      <c r="M2" s="67">
        <v>27</v>
      </c>
      <c r="N2" s="67">
        <v>30</v>
      </c>
      <c r="O2" s="69">
        <v>33</v>
      </c>
      <c r="P2" s="67">
        <v>36</v>
      </c>
      <c r="Q2" s="34" t="s">
        <v>5</v>
      </c>
      <c r="AI2" s="74"/>
      <c r="AK2" s="108" t="s">
        <v>67</v>
      </c>
    </row>
    <row r="3" spans="2:56" ht="19.5" thickBot="1" x14ac:dyDescent="0.35">
      <c r="B3" s="35" t="s">
        <v>40</v>
      </c>
      <c r="D3" s="137"/>
      <c r="E3" s="70">
        <v>2</v>
      </c>
      <c r="F3" s="71">
        <v>5</v>
      </c>
      <c r="G3" s="70">
        <v>8</v>
      </c>
      <c r="H3" s="70">
        <v>11</v>
      </c>
      <c r="I3" s="71">
        <v>14</v>
      </c>
      <c r="J3" s="70">
        <v>17</v>
      </c>
      <c r="K3" s="70">
        <v>20</v>
      </c>
      <c r="L3" s="150">
        <v>23</v>
      </c>
      <c r="M3" s="70">
        <v>26</v>
      </c>
      <c r="N3" s="70">
        <v>29</v>
      </c>
      <c r="O3" s="71">
        <v>32</v>
      </c>
      <c r="P3" s="70">
        <v>35</v>
      </c>
      <c r="Q3" s="34" t="s">
        <v>4</v>
      </c>
      <c r="Y3" s="104" t="s">
        <v>57</v>
      </c>
      <c r="Z3" s="91">
        <v>0.89555555555555555</v>
      </c>
      <c r="AJ3" s="120">
        <v>-925</v>
      </c>
      <c r="AK3" s="41">
        <v>1</v>
      </c>
    </row>
    <row r="4" spans="2:56" ht="19.5" thickBot="1" x14ac:dyDescent="0.35">
      <c r="D4" s="138"/>
      <c r="E4" s="71">
        <v>1</v>
      </c>
      <c r="F4" s="70">
        <v>4</v>
      </c>
      <c r="G4" s="71">
        <v>7</v>
      </c>
      <c r="H4" s="70">
        <v>10</v>
      </c>
      <c r="I4" s="70">
        <v>13</v>
      </c>
      <c r="J4" s="71">
        <v>16</v>
      </c>
      <c r="K4" s="71">
        <v>19</v>
      </c>
      <c r="L4" s="70">
        <v>22</v>
      </c>
      <c r="M4" s="71">
        <v>25</v>
      </c>
      <c r="N4" s="70">
        <v>28</v>
      </c>
      <c r="O4" s="70">
        <v>31</v>
      </c>
      <c r="P4" s="71">
        <v>34</v>
      </c>
      <c r="Q4" s="34" t="s">
        <v>3</v>
      </c>
      <c r="Y4" s="104" t="s">
        <v>58</v>
      </c>
      <c r="Z4" s="91">
        <v>0.89574074074074073</v>
      </c>
      <c r="AJ4" s="120">
        <v>-906.4</v>
      </c>
      <c r="AK4" s="41">
        <v>1</v>
      </c>
      <c r="BD4" s="90"/>
    </row>
    <row r="5" spans="2:56" ht="15.75" thickBot="1" x14ac:dyDescent="0.3">
      <c r="B5" s="31" t="s">
        <v>41</v>
      </c>
      <c r="E5" s="139" t="s">
        <v>0</v>
      </c>
      <c r="F5" s="139"/>
      <c r="G5" s="139"/>
      <c r="H5" s="139"/>
      <c r="I5" s="139" t="s">
        <v>1</v>
      </c>
      <c r="J5" s="139"/>
      <c r="K5" s="139"/>
      <c r="L5" s="139"/>
      <c r="M5" s="139" t="s">
        <v>2</v>
      </c>
      <c r="N5" s="139"/>
      <c r="O5" s="139"/>
      <c r="P5" s="139"/>
      <c r="Y5" s="104" t="s">
        <v>59</v>
      </c>
      <c r="Z5" s="92">
        <f>Z4-Z3</f>
        <v>1.8518518518517713E-4</v>
      </c>
      <c r="AE5" s="36"/>
      <c r="AJ5" s="120">
        <v>-887.8</v>
      </c>
      <c r="AK5" s="41">
        <v>1</v>
      </c>
    </row>
    <row r="6" spans="2:56" ht="19.5" thickBot="1" x14ac:dyDescent="0.35">
      <c r="B6" s="73">
        <v>0</v>
      </c>
      <c r="E6" s="139" t="s">
        <v>6</v>
      </c>
      <c r="F6" s="139"/>
      <c r="G6" s="139" t="s">
        <v>7</v>
      </c>
      <c r="H6" s="139"/>
      <c r="I6" s="140" t="s">
        <v>8</v>
      </c>
      <c r="J6" s="140"/>
      <c r="K6" s="141" t="s">
        <v>9</v>
      </c>
      <c r="L6" s="141"/>
      <c r="M6" s="139" t="s">
        <v>10</v>
      </c>
      <c r="N6" s="139"/>
      <c r="O6" s="139" t="s">
        <v>27</v>
      </c>
      <c r="P6" s="139"/>
      <c r="AJ6" s="120">
        <v>-869.19999999999993</v>
      </c>
      <c r="AK6" s="41">
        <v>0</v>
      </c>
      <c r="BD6" s="88"/>
    </row>
    <row r="7" spans="2:56" x14ac:dyDescent="0.25">
      <c r="B7" s="73">
        <v>12</v>
      </c>
      <c r="AJ7" s="120">
        <v>-850.59999999999991</v>
      </c>
      <c r="AK7" s="41">
        <v>0</v>
      </c>
      <c r="BD7" s="88"/>
    </row>
    <row r="8" spans="2:56" ht="15.75" thickBot="1" x14ac:dyDescent="0.3">
      <c r="B8" s="73">
        <v>17</v>
      </c>
      <c r="D8" s="135" t="s">
        <v>65</v>
      </c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H8" s="89"/>
      <c r="AI8" s="89"/>
      <c r="AJ8" s="120">
        <v>-831.99999999999989</v>
      </c>
      <c r="AK8" s="41">
        <v>4</v>
      </c>
      <c r="BD8" s="88"/>
    </row>
    <row r="9" spans="2:56" ht="18.75" customHeight="1" thickBot="1" x14ac:dyDescent="0.3">
      <c r="B9" s="73">
        <v>36</v>
      </c>
      <c r="D9" s="142">
        <v>5</v>
      </c>
      <c r="E9" s="51">
        <v>0</v>
      </c>
      <c r="F9" s="59">
        <v>0</v>
      </c>
      <c r="G9" s="52">
        <v>0</v>
      </c>
      <c r="H9" s="64">
        <v>0</v>
      </c>
      <c r="I9" s="52">
        <v>0</v>
      </c>
      <c r="J9" s="59">
        <v>0</v>
      </c>
      <c r="K9" s="52">
        <v>0</v>
      </c>
      <c r="L9" s="59">
        <v>0</v>
      </c>
      <c r="M9" s="52">
        <v>0</v>
      </c>
      <c r="N9" s="64">
        <v>0</v>
      </c>
      <c r="O9" s="52">
        <v>0</v>
      </c>
      <c r="P9" s="59">
        <v>0</v>
      </c>
      <c r="Q9" s="52">
        <v>0</v>
      </c>
      <c r="R9" s="59">
        <v>0</v>
      </c>
      <c r="S9" s="52">
        <v>0</v>
      </c>
      <c r="T9" s="64">
        <v>0</v>
      </c>
      <c r="U9" s="52">
        <v>0</v>
      </c>
      <c r="V9" s="59">
        <v>0</v>
      </c>
      <c r="W9" s="52">
        <v>0</v>
      </c>
      <c r="X9" s="59">
        <v>0</v>
      </c>
      <c r="Y9" s="52">
        <v>0</v>
      </c>
      <c r="Z9" s="64">
        <v>0</v>
      </c>
      <c r="AA9" s="52">
        <v>0</v>
      </c>
      <c r="AB9" s="60">
        <v>0</v>
      </c>
      <c r="AC9" s="33">
        <v>0</v>
      </c>
      <c r="AD9" s="89"/>
      <c r="AG9" s="99"/>
      <c r="AH9" s="89"/>
      <c r="AI9" s="89"/>
      <c r="AJ9" s="120">
        <v>-813.39999999999986</v>
      </c>
      <c r="AK9" s="41">
        <v>2</v>
      </c>
      <c r="AL9" s="98"/>
      <c r="AM9" s="98"/>
      <c r="AN9" s="98"/>
      <c r="AO9" s="98"/>
      <c r="AP9" s="98"/>
      <c r="AQ9" s="98"/>
      <c r="AR9" s="98"/>
      <c r="BD9" s="88"/>
    </row>
    <row r="10" spans="2:56" ht="18.75" customHeight="1" thickBot="1" x14ac:dyDescent="0.3">
      <c r="D10" s="143"/>
      <c r="E10" s="53">
        <v>0</v>
      </c>
      <c r="F10" s="54">
        <v>0</v>
      </c>
      <c r="G10" s="54">
        <v>0</v>
      </c>
      <c r="H10" s="54">
        <v>0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54">
        <v>0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5">
        <v>0</v>
      </c>
      <c r="AC10" s="66">
        <v>0</v>
      </c>
      <c r="AD10" s="89"/>
      <c r="AH10" s="89"/>
      <c r="AJ10" s="120">
        <v>-794.79999999999984</v>
      </c>
      <c r="AK10" s="41">
        <v>4</v>
      </c>
      <c r="AL10" s="98"/>
      <c r="AM10" s="98"/>
      <c r="AN10" s="98"/>
      <c r="AO10" s="98"/>
      <c r="AP10" s="98"/>
      <c r="AQ10" s="98"/>
      <c r="AR10" s="98"/>
      <c r="BD10" s="88"/>
    </row>
    <row r="11" spans="2:56" ht="18.75" customHeight="1" thickBot="1" x14ac:dyDescent="0.3">
      <c r="B11" s="75" t="s">
        <v>63</v>
      </c>
      <c r="D11" s="143"/>
      <c r="E11" s="53">
        <v>0</v>
      </c>
      <c r="F11" s="63">
        <v>0</v>
      </c>
      <c r="G11" s="54">
        <v>0</v>
      </c>
      <c r="H11" s="61">
        <v>0</v>
      </c>
      <c r="I11" s="54">
        <v>0</v>
      </c>
      <c r="J11" s="63">
        <v>0</v>
      </c>
      <c r="K11" s="54">
        <v>0</v>
      </c>
      <c r="L11" s="63">
        <v>0</v>
      </c>
      <c r="M11" s="54">
        <v>0</v>
      </c>
      <c r="N11" s="61">
        <v>0</v>
      </c>
      <c r="O11" s="54">
        <v>0</v>
      </c>
      <c r="P11" s="63">
        <v>0</v>
      </c>
      <c r="Q11" s="54">
        <v>0</v>
      </c>
      <c r="R11" s="63">
        <v>0</v>
      </c>
      <c r="S11" s="54">
        <v>0</v>
      </c>
      <c r="T11" s="61">
        <v>0</v>
      </c>
      <c r="U11" s="54">
        <v>0</v>
      </c>
      <c r="V11" s="63">
        <v>0</v>
      </c>
      <c r="W11" s="54">
        <v>0</v>
      </c>
      <c r="X11" s="63">
        <v>0</v>
      </c>
      <c r="Y11" s="54">
        <v>0</v>
      </c>
      <c r="Z11" s="61">
        <v>0</v>
      </c>
      <c r="AA11" s="54">
        <v>0</v>
      </c>
      <c r="AB11" s="65">
        <v>0</v>
      </c>
      <c r="AC11" s="33">
        <v>0</v>
      </c>
      <c r="AD11" s="89"/>
      <c r="AH11" s="89"/>
      <c r="AI11" s="89"/>
      <c r="AJ11" s="120">
        <v>-776.19999999999982</v>
      </c>
      <c r="AK11" s="41">
        <v>8</v>
      </c>
      <c r="AL11" s="98"/>
      <c r="AM11" s="98"/>
      <c r="AN11" s="98"/>
      <c r="AO11" s="98"/>
      <c r="AP11" s="98"/>
      <c r="AQ11" s="98"/>
      <c r="AR11" s="98"/>
      <c r="BD11" s="88"/>
    </row>
    <row r="12" spans="2:56" ht="18.75" customHeight="1" thickBot="1" x14ac:dyDescent="0.3">
      <c r="B12" s="87">
        <v>2222.5</v>
      </c>
      <c r="D12" s="143"/>
      <c r="E12" s="53">
        <v>0</v>
      </c>
      <c r="F12" s="54">
        <v>0</v>
      </c>
      <c r="G12" s="54">
        <v>0</v>
      </c>
      <c r="H12" s="54">
        <v>0</v>
      </c>
      <c r="I12" s="54">
        <v>0</v>
      </c>
      <c r="J12" s="54">
        <v>0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54">
        <v>0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5">
        <v>0</v>
      </c>
      <c r="AC12" s="66">
        <v>0</v>
      </c>
      <c r="AD12" s="89"/>
      <c r="AF12" s="96"/>
      <c r="AH12" s="89"/>
      <c r="AI12" s="89"/>
      <c r="AJ12" s="120">
        <v>-757.5999999999998</v>
      </c>
      <c r="AK12" s="41">
        <v>5</v>
      </c>
      <c r="AL12" s="98"/>
      <c r="AM12" s="98"/>
      <c r="AN12" s="98"/>
      <c r="AO12" s="98"/>
      <c r="AP12" s="98"/>
      <c r="AQ12" s="98"/>
      <c r="AR12" s="98"/>
    </row>
    <row r="13" spans="2:56" ht="18.75" customHeight="1" thickBot="1" x14ac:dyDescent="0.3">
      <c r="D13" s="143"/>
      <c r="E13" s="53">
        <v>0</v>
      </c>
      <c r="F13" s="61">
        <v>0</v>
      </c>
      <c r="G13" s="54">
        <v>0</v>
      </c>
      <c r="H13" s="63">
        <v>0</v>
      </c>
      <c r="I13" s="54">
        <v>0</v>
      </c>
      <c r="J13" s="61">
        <v>0</v>
      </c>
      <c r="K13" s="54">
        <v>0</v>
      </c>
      <c r="L13" s="63">
        <v>0</v>
      </c>
      <c r="M13" s="54">
        <v>0</v>
      </c>
      <c r="N13" s="63">
        <v>0</v>
      </c>
      <c r="O13" s="54">
        <v>0</v>
      </c>
      <c r="P13" s="61">
        <v>0</v>
      </c>
      <c r="Q13" s="54">
        <v>0</v>
      </c>
      <c r="R13" s="61">
        <v>0</v>
      </c>
      <c r="S13" s="54">
        <v>0</v>
      </c>
      <c r="T13" s="63">
        <v>0</v>
      </c>
      <c r="U13" s="54">
        <v>0</v>
      </c>
      <c r="V13" s="61">
        <v>0</v>
      </c>
      <c r="W13" s="54">
        <v>0</v>
      </c>
      <c r="X13" s="63">
        <v>0</v>
      </c>
      <c r="Y13" s="54">
        <v>0</v>
      </c>
      <c r="Z13" s="63">
        <v>0</v>
      </c>
      <c r="AA13" s="54">
        <v>0</v>
      </c>
      <c r="AB13" s="62">
        <v>0</v>
      </c>
      <c r="AC13" s="33">
        <v>0</v>
      </c>
      <c r="AD13" s="89"/>
      <c r="AH13" s="89"/>
      <c r="AI13" s="89"/>
      <c r="AJ13" s="120">
        <v>-738.99999999999977</v>
      </c>
      <c r="AK13" s="41">
        <v>3</v>
      </c>
    </row>
    <row r="14" spans="2:56" ht="18.75" customHeight="1" thickBot="1" x14ac:dyDescent="0.3">
      <c r="B14" s="75" t="s">
        <v>44</v>
      </c>
      <c r="D14" s="144"/>
      <c r="E14" s="56">
        <v>5</v>
      </c>
      <c r="F14" s="57">
        <v>0</v>
      </c>
      <c r="G14" s="57">
        <v>0</v>
      </c>
      <c r="H14" s="57">
        <v>0</v>
      </c>
      <c r="I14" s="57">
        <v>5</v>
      </c>
      <c r="J14" s="57">
        <v>0</v>
      </c>
      <c r="K14" s="57">
        <v>0</v>
      </c>
      <c r="L14" s="57">
        <v>0</v>
      </c>
      <c r="M14" s="57">
        <v>5</v>
      </c>
      <c r="N14" s="57">
        <v>0</v>
      </c>
      <c r="O14" s="57">
        <v>0</v>
      </c>
      <c r="P14" s="57">
        <v>0</v>
      </c>
      <c r="Q14" s="57">
        <v>0</v>
      </c>
      <c r="R14" s="57">
        <v>0</v>
      </c>
      <c r="S14" s="57">
        <v>5</v>
      </c>
      <c r="T14" s="57">
        <v>0</v>
      </c>
      <c r="U14" s="57">
        <v>0</v>
      </c>
      <c r="V14" s="57">
        <v>0</v>
      </c>
      <c r="W14" s="57">
        <v>0</v>
      </c>
      <c r="X14" s="57">
        <v>0</v>
      </c>
      <c r="Y14" s="57">
        <v>0</v>
      </c>
      <c r="Z14" s="57">
        <v>0</v>
      </c>
      <c r="AA14" s="57">
        <v>0</v>
      </c>
      <c r="AB14" s="58">
        <v>0</v>
      </c>
      <c r="AC14" s="72">
        <v>0</v>
      </c>
      <c r="AJ14" s="120">
        <v>-720.39999999999975</v>
      </c>
      <c r="AK14" s="41">
        <v>3</v>
      </c>
    </row>
    <row r="15" spans="2:56" ht="15.75" thickBot="1" x14ac:dyDescent="0.3">
      <c r="B15" s="87">
        <v>5</v>
      </c>
      <c r="D15" s="72">
        <v>0</v>
      </c>
      <c r="E15" s="72">
        <v>0</v>
      </c>
      <c r="F15" s="124">
        <v>0</v>
      </c>
      <c r="G15" s="125"/>
      <c r="H15" s="125"/>
      <c r="I15" s="125"/>
      <c r="J15" s="125"/>
      <c r="K15" s="125"/>
      <c r="L15" s="126"/>
      <c r="M15" s="66">
        <v>0</v>
      </c>
      <c r="N15" s="124">
        <v>0</v>
      </c>
      <c r="O15" s="125"/>
      <c r="P15" s="125"/>
      <c r="Q15" s="125"/>
      <c r="R15" s="125"/>
      <c r="S15" s="125"/>
      <c r="T15" s="126"/>
      <c r="U15" s="66">
        <v>0</v>
      </c>
      <c r="V15" s="124">
        <v>0</v>
      </c>
      <c r="W15" s="125"/>
      <c r="X15" s="125"/>
      <c r="Y15" s="125"/>
      <c r="Z15" s="125"/>
      <c r="AA15" s="125"/>
      <c r="AB15" s="126"/>
      <c r="AC15" s="72">
        <v>0</v>
      </c>
      <c r="AJ15" s="120">
        <v>-701.79999999999973</v>
      </c>
      <c r="AK15" s="41">
        <v>6</v>
      </c>
    </row>
    <row r="16" spans="2:56" ht="15.75" thickBot="1" x14ac:dyDescent="0.3">
      <c r="D16" s="72">
        <v>0</v>
      </c>
      <c r="E16" s="72">
        <v>0</v>
      </c>
      <c r="F16" s="121">
        <v>0</v>
      </c>
      <c r="G16" s="122"/>
      <c r="H16" s="123"/>
      <c r="I16" s="72">
        <v>0</v>
      </c>
      <c r="J16" s="121">
        <v>0</v>
      </c>
      <c r="K16" s="122"/>
      <c r="L16" s="123"/>
      <c r="M16" s="72">
        <v>0</v>
      </c>
      <c r="N16" s="127">
        <v>0</v>
      </c>
      <c r="O16" s="128"/>
      <c r="P16" s="129"/>
      <c r="Q16" s="72">
        <v>0</v>
      </c>
      <c r="R16" s="130">
        <v>0</v>
      </c>
      <c r="S16" s="131"/>
      <c r="T16" s="132"/>
      <c r="U16" s="72">
        <v>0</v>
      </c>
      <c r="V16" s="121">
        <v>0</v>
      </c>
      <c r="W16" s="122"/>
      <c r="X16" s="123"/>
      <c r="Y16" s="72">
        <v>0</v>
      </c>
      <c r="Z16" s="121">
        <v>0</v>
      </c>
      <c r="AA16" s="122"/>
      <c r="AB16" s="123"/>
      <c r="AC16" s="72">
        <v>0</v>
      </c>
      <c r="AJ16" s="120">
        <v>-683.1999999999997</v>
      </c>
      <c r="AK16" s="41">
        <v>11</v>
      </c>
    </row>
    <row r="17" spans="2:58" x14ac:dyDescent="0.25">
      <c r="B17" s="68" t="s">
        <v>55</v>
      </c>
      <c r="AB17" s="94"/>
      <c r="AJ17" s="120">
        <v>-664.59999999999968</v>
      </c>
      <c r="AK17" s="41">
        <v>7</v>
      </c>
    </row>
    <row r="18" spans="2:58" x14ac:dyDescent="0.25">
      <c r="B18" s="35" t="s">
        <v>42</v>
      </c>
      <c r="D18" s="134" t="s">
        <v>64</v>
      </c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AJ18" s="120">
        <v>-645.99999999999966</v>
      </c>
      <c r="AK18" s="41">
        <v>10</v>
      </c>
    </row>
    <row r="19" spans="2:58" ht="16.5" customHeight="1" x14ac:dyDescent="0.25">
      <c r="D19" s="133">
        <v>200</v>
      </c>
      <c r="E19" s="106">
        <v>20</v>
      </c>
      <c r="F19" s="107">
        <v>5</v>
      </c>
      <c r="G19" s="106">
        <v>5</v>
      </c>
      <c r="H19" s="106">
        <v>5</v>
      </c>
      <c r="I19" s="107">
        <v>5</v>
      </c>
      <c r="J19" s="106">
        <v>-25</v>
      </c>
      <c r="K19" s="106">
        <v>5</v>
      </c>
      <c r="L19" s="107">
        <v>5</v>
      </c>
      <c r="M19" s="106">
        <v>-25</v>
      </c>
      <c r="N19" s="106">
        <v>-25</v>
      </c>
      <c r="O19" s="107">
        <v>-25</v>
      </c>
      <c r="P19" s="106">
        <v>-25</v>
      </c>
      <c r="AF19" s="98"/>
      <c r="AJ19" s="120">
        <v>-627.39999999999964</v>
      </c>
      <c r="AK19" s="41">
        <v>27</v>
      </c>
      <c r="BF19" s="97"/>
    </row>
    <row r="20" spans="2:58" ht="15.75" customHeight="1" x14ac:dyDescent="0.25">
      <c r="B20" s="117" t="s">
        <v>68</v>
      </c>
      <c r="D20" s="133"/>
      <c r="E20" s="107">
        <v>20</v>
      </c>
      <c r="F20" s="106">
        <v>5</v>
      </c>
      <c r="G20" s="107">
        <v>5</v>
      </c>
      <c r="H20" s="107">
        <v>5</v>
      </c>
      <c r="I20" s="106">
        <v>5</v>
      </c>
      <c r="J20" s="107">
        <v>-25</v>
      </c>
      <c r="K20" s="107">
        <v>5</v>
      </c>
      <c r="L20" s="106">
        <v>5</v>
      </c>
      <c r="M20" s="107">
        <v>-25</v>
      </c>
      <c r="N20" s="107">
        <v>-25</v>
      </c>
      <c r="O20" s="106">
        <v>-25</v>
      </c>
      <c r="P20" s="107">
        <v>-25</v>
      </c>
      <c r="AF20" s="98"/>
      <c r="AJ20" s="120">
        <v>-608.79999999999961</v>
      </c>
      <c r="AK20" s="41">
        <v>24</v>
      </c>
      <c r="AV20" s="95"/>
    </row>
    <row r="21" spans="2:58" ht="15.75" thickBot="1" x14ac:dyDescent="0.3">
      <c r="B21" s="35" t="s">
        <v>42</v>
      </c>
      <c r="D21" s="133"/>
      <c r="E21" s="113">
        <v>20</v>
      </c>
      <c r="F21" s="114">
        <v>5</v>
      </c>
      <c r="G21" s="113">
        <v>5</v>
      </c>
      <c r="H21" s="114">
        <v>5</v>
      </c>
      <c r="I21" s="111">
        <v>5</v>
      </c>
      <c r="J21" s="112">
        <v>-25</v>
      </c>
      <c r="K21" s="112">
        <v>5</v>
      </c>
      <c r="L21" s="111">
        <v>5</v>
      </c>
      <c r="M21" s="115">
        <v>-25</v>
      </c>
      <c r="N21" s="116">
        <v>-25</v>
      </c>
      <c r="O21" s="116">
        <v>-25</v>
      </c>
      <c r="P21" s="115">
        <v>-25</v>
      </c>
      <c r="AJ21" s="120">
        <v>-590.19999999999959</v>
      </c>
      <c r="AK21" s="41">
        <v>24</v>
      </c>
    </row>
    <row r="22" spans="2:58" x14ac:dyDescent="0.25">
      <c r="K22" s="89"/>
      <c r="L22" s="89"/>
      <c r="M22" s="89"/>
      <c r="N22" s="89"/>
      <c r="P22" s="89"/>
      <c r="AE22" s="94"/>
      <c r="AJ22" s="120">
        <v>-571.59999999999957</v>
      </c>
      <c r="AK22" s="41">
        <v>20</v>
      </c>
      <c r="AV22" s="95"/>
    </row>
    <row r="23" spans="2:58" x14ac:dyDescent="0.25">
      <c r="B23" s="93" t="s">
        <v>56</v>
      </c>
      <c r="E23" s="108" t="s">
        <v>53</v>
      </c>
      <c r="F23" s="108" t="s">
        <v>28</v>
      </c>
      <c r="AJ23" s="120">
        <v>-552.99999999999955</v>
      </c>
      <c r="AK23" s="41">
        <v>77</v>
      </c>
    </row>
    <row r="24" spans="2:58" x14ac:dyDescent="0.25">
      <c r="B24" s="105">
        <v>0</v>
      </c>
      <c r="E24" s="109">
        <v>1</v>
      </c>
      <c r="F24" s="109">
        <v>35</v>
      </c>
      <c r="AJ24" s="120">
        <v>-534.39999999999952</v>
      </c>
      <c r="AK24" s="41">
        <v>36</v>
      </c>
    </row>
    <row r="25" spans="2:58" x14ac:dyDescent="0.25">
      <c r="E25" s="109">
        <v>2</v>
      </c>
      <c r="F25" s="109">
        <v>17</v>
      </c>
      <c r="AJ25" s="120">
        <v>-515.7999999999995</v>
      </c>
      <c r="AK25" s="41">
        <v>24</v>
      </c>
    </row>
    <row r="26" spans="2:58" x14ac:dyDescent="0.25">
      <c r="B26" s="100" t="s">
        <v>60</v>
      </c>
      <c r="C26" s="101">
        <v>0.59459459459459463</v>
      </c>
      <c r="E26" s="109">
        <v>3</v>
      </c>
      <c r="F26" s="109">
        <v>11</v>
      </c>
      <c r="AJ26" s="120">
        <v>-497.19999999999948</v>
      </c>
      <c r="AK26" s="41">
        <v>53</v>
      </c>
    </row>
    <row r="27" spans="2:58" x14ac:dyDescent="0.25">
      <c r="B27" s="100" t="s">
        <v>61</v>
      </c>
      <c r="C27" s="101">
        <v>0.40540540540540543</v>
      </c>
      <c r="E27" s="109">
        <v>4</v>
      </c>
      <c r="F27" s="109">
        <v>8</v>
      </c>
      <c r="AJ27" s="120">
        <v>-478.59999999999945</v>
      </c>
      <c r="AK27" s="41">
        <v>88</v>
      </c>
    </row>
    <row r="28" spans="2:58" x14ac:dyDescent="0.25">
      <c r="B28" s="100" t="s">
        <v>62</v>
      </c>
      <c r="C28" s="101">
        <v>0</v>
      </c>
      <c r="E28" s="109">
        <v>6</v>
      </c>
      <c r="F28" s="109">
        <v>5</v>
      </c>
      <c r="AJ28" s="120">
        <v>-459.99999999999943</v>
      </c>
      <c r="AK28" s="41">
        <v>54</v>
      </c>
    </row>
    <row r="29" spans="2:58" x14ac:dyDescent="0.25">
      <c r="C29" s="102">
        <f>SUM(C26:C28)</f>
        <v>1</v>
      </c>
      <c r="E29" s="109">
        <v>12</v>
      </c>
      <c r="F29" s="109">
        <v>2</v>
      </c>
      <c r="AJ29" s="120">
        <v>-441.39999999999941</v>
      </c>
      <c r="AK29" s="41">
        <v>75</v>
      </c>
    </row>
    <row r="30" spans="2:58" x14ac:dyDescent="0.25">
      <c r="E30" s="109">
        <v>18</v>
      </c>
      <c r="F30" s="109">
        <v>1</v>
      </c>
      <c r="AJ30" s="120">
        <v>-422.79999999999939</v>
      </c>
      <c r="AK30" s="41">
        <v>74</v>
      </c>
    </row>
    <row r="31" spans="2:58" x14ac:dyDescent="0.25">
      <c r="B31" s="100" t="s">
        <v>69</v>
      </c>
      <c r="C31" s="103">
        <v>-645355</v>
      </c>
      <c r="E31" s="109">
        <v>24</v>
      </c>
      <c r="F31" s="110">
        <v>0.5</v>
      </c>
      <c r="AJ31" s="120">
        <v>-404.19999999999936</v>
      </c>
      <c r="AK31" s="41">
        <v>85</v>
      </c>
    </row>
    <row r="32" spans="2:58" x14ac:dyDescent="0.25">
      <c r="B32" s="100" t="s">
        <v>66</v>
      </c>
      <c r="C32" s="103">
        <v>-925</v>
      </c>
      <c r="AJ32" s="120">
        <v>-385.59999999999934</v>
      </c>
      <c r="AK32" s="41">
        <v>175</v>
      </c>
    </row>
    <row r="33" spans="2:37" x14ac:dyDescent="0.25">
      <c r="B33" s="100" t="s">
        <v>70</v>
      </c>
      <c r="C33" s="103">
        <v>3994</v>
      </c>
      <c r="AJ33" s="120">
        <v>-366.99999999999932</v>
      </c>
      <c r="AK33" s="41">
        <v>85</v>
      </c>
    </row>
    <row r="34" spans="2:37" x14ac:dyDescent="0.25">
      <c r="B34" s="100" t="s">
        <v>71</v>
      </c>
      <c r="C34" s="103">
        <v>6006</v>
      </c>
      <c r="AJ34" s="120">
        <v>-348.3999999999993</v>
      </c>
      <c r="AK34" s="41">
        <v>138</v>
      </c>
    </row>
    <row r="35" spans="2:37" x14ac:dyDescent="0.25">
      <c r="B35" s="100" t="s">
        <v>72</v>
      </c>
      <c r="C35" s="103">
        <v>143.5378067100651</v>
      </c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AJ35" s="120">
        <v>-329.79999999999927</v>
      </c>
      <c r="AK35" s="41">
        <v>103</v>
      </c>
    </row>
    <row r="36" spans="2:37" x14ac:dyDescent="0.25">
      <c r="B36" s="100" t="s">
        <v>73</v>
      </c>
      <c r="C36" s="103">
        <v>-202.9045954045954</v>
      </c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AJ36" s="120">
        <v>-311.19999999999925</v>
      </c>
      <c r="AK36" s="41">
        <v>294</v>
      </c>
    </row>
    <row r="37" spans="2:37" x14ac:dyDescent="0.25">
      <c r="D37" s="89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89"/>
      <c r="R37" s="89"/>
      <c r="AJ37" s="120">
        <v>-292.59999999999923</v>
      </c>
      <c r="AK37" s="41">
        <v>178</v>
      </c>
    </row>
    <row r="38" spans="2:37" x14ac:dyDescent="0.25">
      <c r="D38" s="89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89"/>
      <c r="R38" s="89"/>
      <c r="AJ38" s="120">
        <v>-273.9999999999992</v>
      </c>
      <c r="AK38" s="41">
        <v>185</v>
      </c>
    </row>
    <row r="39" spans="2:37" x14ac:dyDescent="0.25">
      <c r="B39" s="119"/>
      <c r="C39" s="89"/>
      <c r="D39" s="89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89"/>
      <c r="R39" s="89"/>
      <c r="AJ39" s="120">
        <v>-255.39999999999921</v>
      </c>
      <c r="AK39" s="41">
        <v>167</v>
      </c>
    </row>
    <row r="40" spans="2:37" x14ac:dyDescent="0.25">
      <c r="B40" s="119"/>
      <c r="C40" s="89"/>
      <c r="D40" s="89"/>
      <c r="E40" s="89"/>
      <c r="F40" s="89"/>
      <c r="G40" s="89"/>
      <c r="H40" s="118"/>
      <c r="I40" s="118"/>
      <c r="J40" s="118"/>
      <c r="K40" s="118"/>
      <c r="L40" s="118"/>
      <c r="M40" s="118"/>
      <c r="N40" s="118"/>
      <c r="O40" s="118"/>
      <c r="P40" s="118"/>
      <c r="Q40" s="89"/>
      <c r="R40" s="89"/>
      <c r="AJ40" s="120">
        <v>-236.79999999999922</v>
      </c>
      <c r="AK40" s="41">
        <v>332</v>
      </c>
    </row>
    <row r="41" spans="2:37" x14ac:dyDescent="0.25">
      <c r="B41" s="119"/>
      <c r="C41" s="89"/>
      <c r="D41" s="89"/>
      <c r="E41" s="89"/>
      <c r="F41" s="89"/>
      <c r="G41" s="89"/>
      <c r="H41" s="118"/>
      <c r="I41" s="118"/>
      <c r="J41" s="118"/>
      <c r="K41" s="118"/>
      <c r="L41" s="118"/>
      <c r="M41" s="118"/>
      <c r="N41" s="118"/>
      <c r="O41" s="118"/>
      <c r="P41" s="118"/>
      <c r="Q41" s="89"/>
      <c r="R41" s="89"/>
      <c r="AJ41" s="120">
        <v>-218.19999999999922</v>
      </c>
      <c r="AK41" s="41">
        <v>258</v>
      </c>
    </row>
    <row r="42" spans="2:37" x14ac:dyDescent="0.25">
      <c r="B42" s="11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AJ42" s="120">
        <v>-199.59999999999923</v>
      </c>
      <c r="AK42" s="41">
        <v>214</v>
      </c>
    </row>
    <row r="43" spans="2:37" x14ac:dyDescent="0.25">
      <c r="B43" s="11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AJ43" s="120">
        <v>-180.99999999999923</v>
      </c>
      <c r="AK43" s="41">
        <v>223</v>
      </c>
    </row>
    <row r="44" spans="2:37" x14ac:dyDescent="0.25">
      <c r="B44" s="11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AJ44" s="120">
        <v>-162.39999999999924</v>
      </c>
      <c r="AK44" s="41">
        <v>489</v>
      </c>
    </row>
    <row r="45" spans="2:37" x14ac:dyDescent="0.25">
      <c r="B45" s="119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AJ45" s="120">
        <v>-143.79999999999924</v>
      </c>
      <c r="AK45" s="41">
        <v>254</v>
      </c>
    </row>
    <row r="46" spans="2:37" x14ac:dyDescent="0.25">
      <c r="B46" s="89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AJ46" s="120">
        <v>-125.19999999999925</v>
      </c>
      <c r="AK46" s="41">
        <v>284</v>
      </c>
    </row>
    <row r="47" spans="2:37" x14ac:dyDescent="0.25">
      <c r="B47" s="89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AJ47" s="120">
        <v>-106.59999999999926</v>
      </c>
      <c r="AK47" s="41">
        <v>230</v>
      </c>
    </row>
    <row r="48" spans="2:37" x14ac:dyDescent="0.25">
      <c r="B48" s="89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AJ48" s="120">
        <v>-87.999999999999261</v>
      </c>
      <c r="AK48" s="41">
        <v>541</v>
      </c>
    </row>
    <row r="49" spans="2:52" x14ac:dyDescent="0.25">
      <c r="B49" s="89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AJ49" s="120">
        <v>-69.399999999999267</v>
      </c>
      <c r="AK49" s="41">
        <v>255</v>
      </c>
    </row>
    <row r="50" spans="2:52" x14ac:dyDescent="0.25">
      <c r="B50" s="89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AJ50" s="120">
        <v>-50.799999999999265</v>
      </c>
      <c r="AK50" s="41">
        <v>277</v>
      </c>
    </row>
    <row r="51" spans="2:52" x14ac:dyDescent="0.25">
      <c r="B51" s="89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AJ51" s="120">
        <v>-32.199999999999264</v>
      </c>
      <c r="AK51" s="41">
        <v>302</v>
      </c>
    </row>
    <row r="52" spans="2:52" x14ac:dyDescent="0.25">
      <c r="B52" s="89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AJ52" s="120">
        <v>-13.599999999999262</v>
      </c>
      <c r="AK52" s="41">
        <v>565</v>
      </c>
    </row>
    <row r="53" spans="2:52" x14ac:dyDescent="0.25"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AJ53" s="120">
        <v>5.000000000000739</v>
      </c>
      <c r="AK53" s="41">
        <v>231</v>
      </c>
    </row>
    <row r="54" spans="2:52" x14ac:dyDescent="0.25">
      <c r="B54" s="89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AJ54" s="120">
        <v>23.60000000000074</v>
      </c>
      <c r="AK54" s="41">
        <v>274</v>
      </c>
    </row>
    <row r="55" spans="2:52" x14ac:dyDescent="0.25">
      <c r="B55" s="89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AJ55" s="120">
        <v>42.200000000000742</v>
      </c>
      <c r="AK55" s="41">
        <v>222</v>
      </c>
    </row>
    <row r="56" spans="2:52" x14ac:dyDescent="0.25">
      <c r="B56" s="89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AJ56" s="120">
        <v>60.800000000000743</v>
      </c>
      <c r="AK56" s="41">
        <v>243</v>
      </c>
      <c r="AP56" s="99"/>
      <c r="AQ56" s="99"/>
      <c r="AR56" s="99"/>
      <c r="AS56" s="99"/>
      <c r="AT56" s="99"/>
      <c r="AU56" s="99"/>
      <c r="AV56" s="99"/>
      <c r="AW56" s="99"/>
      <c r="AX56" s="99"/>
    </row>
    <row r="57" spans="2:52" x14ac:dyDescent="0.25">
      <c r="B57" s="89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AJ57" s="120">
        <v>79.400000000000745</v>
      </c>
      <c r="AK57" s="41">
        <v>505</v>
      </c>
    </row>
    <row r="58" spans="2:52" x14ac:dyDescent="0.25">
      <c r="AJ58" s="120">
        <v>98.000000000000739</v>
      </c>
      <c r="AK58" s="41">
        <v>220</v>
      </c>
    </row>
    <row r="59" spans="2:52" x14ac:dyDescent="0.25">
      <c r="AJ59" s="120">
        <v>116.60000000000073</v>
      </c>
      <c r="AK59" s="41">
        <v>223</v>
      </c>
    </row>
    <row r="60" spans="2:52" x14ac:dyDescent="0.25">
      <c r="AJ60" s="120">
        <v>135.20000000000073</v>
      </c>
      <c r="AK60" s="41">
        <v>225</v>
      </c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</row>
    <row r="61" spans="2:52" x14ac:dyDescent="0.25">
      <c r="AJ61" s="120">
        <v>153.80000000000072</v>
      </c>
      <c r="AK61" s="41">
        <v>303</v>
      </c>
    </row>
    <row r="62" spans="2:52" x14ac:dyDescent="0.25">
      <c r="AJ62" s="120">
        <v>172.40000000000072</v>
      </c>
      <c r="AK62" s="41">
        <v>137</v>
      </c>
    </row>
    <row r="63" spans="2:52" x14ac:dyDescent="0.25">
      <c r="AJ63" s="120">
        <v>191.00000000000071</v>
      </c>
      <c r="AK63" s="41">
        <v>136</v>
      </c>
    </row>
    <row r="64" spans="2:52" x14ac:dyDescent="0.25">
      <c r="AJ64" s="120">
        <v>209.6000000000007</v>
      </c>
      <c r="AK64" s="41">
        <v>150</v>
      </c>
    </row>
    <row r="65" spans="3:41" x14ac:dyDescent="0.25">
      <c r="AJ65" s="120">
        <v>228.2000000000007</v>
      </c>
      <c r="AK65" s="41">
        <v>210</v>
      </c>
    </row>
    <row r="66" spans="3:41" x14ac:dyDescent="0.25">
      <c r="AJ66" s="120">
        <v>246.80000000000069</v>
      </c>
      <c r="AK66" s="41">
        <v>82</v>
      </c>
    </row>
    <row r="67" spans="3:41" x14ac:dyDescent="0.25">
      <c r="AJ67" s="120">
        <v>265.40000000000072</v>
      </c>
      <c r="AK67" s="41">
        <v>71</v>
      </c>
    </row>
    <row r="68" spans="3:41" x14ac:dyDescent="0.25">
      <c r="AJ68" s="120">
        <v>284.00000000000074</v>
      </c>
      <c r="AK68" s="41">
        <v>87</v>
      </c>
    </row>
    <row r="69" spans="3:41" x14ac:dyDescent="0.25">
      <c r="AJ69" s="120">
        <v>302.60000000000076</v>
      </c>
      <c r="AK69" s="41">
        <v>109</v>
      </c>
    </row>
    <row r="70" spans="3:41" x14ac:dyDescent="0.25">
      <c r="AJ70" s="120">
        <v>321.20000000000078</v>
      </c>
      <c r="AK70" s="41">
        <v>40</v>
      </c>
    </row>
    <row r="71" spans="3:41" x14ac:dyDescent="0.25">
      <c r="AJ71" s="120">
        <v>339.80000000000081</v>
      </c>
      <c r="AK71" s="41">
        <v>50</v>
      </c>
    </row>
    <row r="72" spans="3:41" x14ac:dyDescent="0.25">
      <c r="AJ72" s="120">
        <v>358.40000000000083</v>
      </c>
      <c r="AK72" s="41">
        <v>29</v>
      </c>
    </row>
    <row r="73" spans="3:41" x14ac:dyDescent="0.25">
      <c r="AJ73" s="120">
        <v>377.00000000000085</v>
      </c>
      <c r="AK73" s="41">
        <v>62</v>
      </c>
    </row>
    <row r="74" spans="3:41" x14ac:dyDescent="0.25">
      <c r="AJ74" s="120">
        <v>395.60000000000088</v>
      </c>
      <c r="AK74" s="41">
        <v>28</v>
      </c>
    </row>
    <row r="75" spans="3:41" x14ac:dyDescent="0.25">
      <c r="AJ75" s="120">
        <v>414.2000000000009</v>
      </c>
      <c r="AK75" s="41">
        <v>23</v>
      </c>
    </row>
    <row r="76" spans="3:41" x14ac:dyDescent="0.25"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AA76" s="99"/>
      <c r="AB76" s="99"/>
      <c r="AC76" s="99"/>
      <c r="AD76" s="99"/>
      <c r="AE76" s="99"/>
      <c r="AF76" s="99"/>
      <c r="AG76" s="99"/>
      <c r="AH76" s="99"/>
      <c r="AI76" s="99"/>
      <c r="AJ76" s="120">
        <v>432.80000000000092</v>
      </c>
      <c r="AK76" s="41">
        <v>15</v>
      </c>
      <c r="AL76" s="99"/>
      <c r="AM76" s="99"/>
      <c r="AN76" s="99"/>
      <c r="AO76" s="99"/>
    </row>
    <row r="77" spans="3:41" x14ac:dyDescent="0.25">
      <c r="AJ77" s="120">
        <v>451.40000000000094</v>
      </c>
      <c r="AK77" s="41">
        <v>19</v>
      </c>
    </row>
    <row r="78" spans="3:41" x14ac:dyDescent="0.25">
      <c r="AJ78" s="120">
        <v>470.00000000000097</v>
      </c>
      <c r="AK78" s="41">
        <v>4</v>
      </c>
    </row>
    <row r="79" spans="3:41" x14ac:dyDescent="0.25">
      <c r="AJ79" s="120">
        <v>488.60000000000099</v>
      </c>
      <c r="AK79" s="41">
        <v>3</v>
      </c>
    </row>
    <row r="80" spans="3:41" x14ac:dyDescent="0.25"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20">
        <v>507.20000000000101</v>
      </c>
      <c r="AK80" s="41">
        <v>3</v>
      </c>
      <c r="AL80" s="102"/>
      <c r="AM80" s="102"/>
      <c r="AN80" s="102"/>
      <c r="AO80" s="102"/>
    </row>
    <row r="81" spans="3:50" x14ac:dyDescent="0.25">
      <c r="AJ81" s="120">
        <v>525.80000000000098</v>
      </c>
      <c r="AK81" s="41">
        <v>1</v>
      </c>
      <c r="AP81" s="99"/>
      <c r="AQ81" s="99"/>
      <c r="AR81" s="99"/>
      <c r="AS81" s="99"/>
      <c r="AT81" s="99"/>
      <c r="AU81" s="99"/>
      <c r="AV81" s="99"/>
      <c r="AW81" s="99"/>
      <c r="AX81" s="99"/>
    </row>
    <row r="82" spans="3:50" x14ac:dyDescent="0.25">
      <c r="AJ82" s="120">
        <v>544.400000000001</v>
      </c>
      <c r="AK82" s="41">
        <v>5</v>
      </c>
    </row>
    <row r="83" spans="3:50" x14ac:dyDescent="0.25">
      <c r="AJ83" s="120">
        <v>563.00000000000102</v>
      </c>
      <c r="AK83" s="41">
        <v>2</v>
      </c>
    </row>
    <row r="84" spans="3:50" x14ac:dyDescent="0.25">
      <c r="AJ84" s="120">
        <v>581.60000000000105</v>
      </c>
      <c r="AK84" s="41">
        <v>3</v>
      </c>
    </row>
    <row r="85" spans="3:50" x14ac:dyDescent="0.25">
      <c r="AJ85" s="120">
        <v>600.20000000000107</v>
      </c>
      <c r="AK85" s="41">
        <v>1</v>
      </c>
    </row>
    <row r="86" spans="3:50" x14ac:dyDescent="0.25">
      <c r="AJ86" s="120">
        <v>618.80000000000109</v>
      </c>
      <c r="AK86" s="41">
        <v>2</v>
      </c>
    </row>
    <row r="87" spans="3:50" x14ac:dyDescent="0.25">
      <c r="AJ87" s="120">
        <v>637.40000000000111</v>
      </c>
      <c r="AK87" s="41">
        <v>2</v>
      </c>
    </row>
    <row r="88" spans="3:50" x14ac:dyDescent="0.25">
      <c r="AJ88" s="120">
        <v>656.00000000000114</v>
      </c>
      <c r="AK88" s="41">
        <v>0</v>
      </c>
    </row>
    <row r="89" spans="3:50" x14ac:dyDescent="0.25">
      <c r="AJ89" s="120">
        <v>674.60000000000116</v>
      </c>
      <c r="AK89" s="41">
        <v>0</v>
      </c>
    </row>
    <row r="90" spans="3:50" x14ac:dyDescent="0.25">
      <c r="AJ90" s="120">
        <v>693.20000000000118</v>
      </c>
      <c r="AK90" s="41">
        <v>1</v>
      </c>
    </row>
    <row r="91" spans="3:50" x14ac:dyDescent="0.25">
      <c r="AJ91" s="120">
        <v>711.80000000000121</v>
      </c>
      <c r="AK91" s="41">
        <v>0</v>
      </c>
    </row>
    <row r="92" spans="3:50" x14ac:dyDescent="0.25">
      <c r="AJ92" s="120">
        <v>730.40000000000123</v>
      </c>
      <c r="AK92" s="41">
        <v>0</v>
      </c>
    </row>
    <row r="93" spans="3:50" x14ac:dyDescent="0.25">
      <c r="C93" s="99"/>
      <c r="AJ93" s="120">
        <v>749.00000000000125</v>
      </c>
      <c r="AK93" s="41">
        <v>0</v>
      </c>
    </row>
    <row r="94" spans="3:50" x14ac:dyDescent="0.25">
      <c r="C94" s="99"/>
      <c r="AJ94" s="120">
        <v>767.60000000000127</v>
      </c>
      <c r="AK94" s="41">
        <v>2</v>
      </c>
    </row>
    <row r="95" spans="3:50" x14ac:dyDescent="0.25">
      <c r="C95" s="99"/>
      <c r="AJ95" s="120">
        <v>786.2000000000013</v>
      </c>
      <c r="AK95" s="41">
        <v>0</v>
      </c>
    </row>
    <row r="96" spans="3:50" x14ac:dyDescent="0.25">
      <c r="AJ96" s="120">
        <v>804.80000000000132</v>
      </c>
      <c r="AK96" s="41">
        <v>0</v>
      </c>
    </row>
    <row r="97" spans="3:41" x14ac:dyDescent="0.25">
      <c r="AJ97" s="120">
        <v>823.40000000000134</v>
      </c>
      <c r="AK97" s="41">
        <v>0</v>
      </c>
    </row>
    <row r="98" spans="3:41" x14ac:dyDescent="0.25">
      <c r="AJ98" s="120">
        <v>842.00000000000136</v>
      </c>
      <c r="AK98" s="41">
        <v>0</v>
      </c>
    </row>
    <row r="99" spans="3:41" x14ac:dyDescent="0.25">
      <c r="C99" s="99"/>
      <c r="AJ99" s="120">
        <v>860.60000000000139</v>
      </c>
      <c r="AK99" s="41">
        <v>0</v>
      </c>
    </row>
    <row r="100" spans="3:41" x14ac:dyDescent="0.25">
      <c r="C100" s="99"/>
      <c r="AJ100" s="120">
        <v>879.20000000000141</v>
      </c>
      <c r="AK100" s="41">
        <v>0</v>
      </c>
    </row>
    <row r="101" spans="3:41" x14ac:dyDescent="0.25">
      <c r="C101" s="99"/>
      <c r="D101" s="99"/>
      <c r="E101" s="99"/>
      <c r="F101" s="99"/>
      <c r="G101" s="99"/>
      <c r="H101" s="99"/>
      <c r="I101" s="99"/>
      <c r="J101" s="99" t="str">
        <f t="shared" ref="J101:O101" si="0">IF(J88="OK",J82/$T$82,"")</f>
        <v/>
      </c>
      <c r="K101" s="99" t="str">
        <f t="shared" si="0"/>
        <v/>
      </c>
      <c r="L101" s="99" t="str">
        <f t="shared" si="0"/>
        <v/>
      </c>
      <c r="M101" s="99" t="str">
        <f t="shared" si="0"/>
        <v/>
      </c>
      <c r="N101" s="99" t="str">
        <f t="shared" si="0"/>
        <v/>
      </c>
      <c r="O101" s="99" t="str">
        <f t="shared" si="0"/>
        <v/>
      </c>
      <c r="P101" s="99"/>
      <c r="Q101" s="99" t="str">
        <f>IF(Q88="OK",Q82/$T$82,"")</f>
        <v/>
      </c>
      <c r="R101" s="99" t="str">
        <f>IF(R88="OK",R82/$T$82,"")</f>
        <v/>
      </c>
      <c r="S101" s="99" t="str">
        <f>IF(S88="OK",S82/$T$82,"")</f>
        <v/>
      </c>
      <c r="T101" s="99"/>
      <c r="U101" s="99" t="str">
        <f>IF(U88="OK",U82/$T$82,"")</f>
        <v/>
      </c>
      <c r="V101" s="99" t="str">
        <f>IF(V88="OK",V82/$T$82,"")</f>
        <v/>
      </c>
      <c r="W101" s="99" t="str">
        <f>IF(W88="OK",W82/$T$82,"")</f>
        <v/>
      </c>
      <c r="X101" s="99" t="str">
        <f>IF(X88="OK",X82/$T$82,"")</f>
        <v/>
      </c>
      <c r="AA101" s="99"/>
      <c r="AB101" s="99"/>
      <c r="AC101" s="99"/>
      <c r="AD101" s="99"/>
      <c r="AE101" s="99"/>
      <c r="AF101" s="99"/>
      <c r="AG101" s="99"/>
      <c r="AH101" s="99"/>
      <c r="AI101" s="99"/>
      <c r="AJ101" s="120">
        <v>897.80000000000143</v>
      </c>
      <c r="AK101" s="41">
        <v>0</v>
      </c>
      <c r="AL101" s="99"/>
      <c r="AM101" s="99"/>
      <c r="AN101" s="99"/>
      <c r="AO101" s="99"/>
    </row>
    <row r="102" spans="3:41" x14ac:dyDescent="0.25">
      <c r="AJ102" s="120">
        <v>935</v>
      </c>
      <c r="AK102" s="41">
        <v>1</v>
      </c>
    </row>
  </sheetData>
  <sortState ref="Y20:Y119">
    <sortCondition ref="Y20"/>
  </sortState>
  <mergeCells count="23">
    <mergeCell ref="D19:D21"/>
    <mergeCell ref="D18:P18"/>
    <mergeCell ref="D8:AC8"/>
    <mergeCell ref="D2:D4"/>
    <mergeCell ref="E5:H5"/>
    <mergeCell ref="I5:L5"/>
    <mergeCell ref="M5:P5"/>
    <mergeCell ref="E6:F6"/>
    <mergeCell ref="G6:H6"/>
    <mergeCell ref="I6:J6"/>
    <mergeCell ref="K6:L6"/>
    <mergeCell ref="M6:N6"/>
    <mergeCell ref="O6:P6"/>
    <mergeCell ref="D9:D14"/>
    <mergeCell ref="N15:T15"/>
    <mergeCell ref="V15:AB15"/>
    <mergeCell ref="F16:H16"/>
    <mergeCell ref="F15:L15"/>
    <mergeCell ref="Z16:AB16"/>
    <mergeCell ref="V16:X16"/>
    <mergeCell ref="N16:P16"/>
    <mergeCell ref="R16:T16"/>
    <mergeCell ref="J16:L16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ódulo1.ruleta">
                <anchor moveWithCells="1" sizeWithCells="1">
                  <from>
                    <xdr:col>18</xdr:col>
                    <xdr:colOff>123825</xdr:colOff>
                    <xdr:row>2</xdr:row>
                    <xdr:rowOff>38100</xdr:rowOff>
                  </from>
                  <to>
                    <xdr:col>21</xdr:col>
                    <xdr:colOff>142875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utton 25">
              <controlPr defaultSize="0" print="0" autoFill="0" autoPict="0" macro="[0]!Limpiar">
                <anchor moveWithCells="1" sizeWithCells="1">
                  <from>
                    <xdr:col>18</xdr:col>
                    <xdr:colOff>123825</xdr:colOff>
                    <xdr:row>4</xdr:row>
                    <xdr:rowOff>66675</xdr:rowOff>
                  </from>
                  <to>
                    <xdr:col>22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Hoja1!$A$8:$A$208</xm:f>
          </x14:formula1>
          <xm:sqref>G10:AB12 G13:AC13 AC11 D9:E14 F9:F13 G9:AC9 F14:L15 M14 N14:T15 V14:AB15 U14</xm:sqref>
        </x14:dataValidation>
        <x14:dataValidation type="list" allowBlank="1" showInputMessage="1" showErrorMessage="1">
          <x14:formula1>
            <xm:f>Hoja1!$A$209:$A$309</xm:f>
          </x14:formula1>
          <xm:sqref>AC10 R16:T16 N16:P16 Z16:AB16 V16:X16 J16:L16 F16:H16 AC12 M15 U15</xm:sqref>
        </x14:dataValidation>
        <x14:dataValidation type="list" allowBlank="1" showInputMessage="1" showErrorMessage="1">
          <x14:formula1>
            <xm:f>Hoja1!$BM$2:$CW$2</xm:f>
          </x14:formula1>
          <xm:sqref>B6:B9</xm:sqref>
        </x14:dataValidation>
        <x14:dataValidation type="list" allowBlank="1" showInputMessage="1" showErrorMessage="1">
          <x14:formula1>
            <xm:f>Hoja1!$A$310:$A$311</xm:f>
          </x14:formula1>
          <xm:sqref>B18 B21</xm:sqref>
        </x14:dataValidation>
        <x14:dataValidation type="list" allowBlank="1" showInputMessage="1" showErrorMessage="1">
          <x14:formula1>
            <xm:f>Hoja1!$A$1:$A$2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W339"/>
  <sheetViews>
    <sheetView topLeftCell="A37" workbookViewId="0">
      <selection activeCell="R53" sqref="R53"/>
    </sheetView>
  </sheetViews>
  <sheetFormatPr baseColWidth="10" defaultRowHeight="15" x14ac:dyDescent="0.25"/>
  <cols>
    <col min="1" max="1" width="20.5703125" bestFit="1" customWidth="1"/>
    <col min="2" max="14" width="4" customWidth="1"/>
    <col min="15" max="24" width="3.85546875" customWidth="1"/>
    <col min="25" max="26" width="4.42578125" customWidth="1"/>
    <col min="27" max="27" width="4" customWidth="1"/>
    <col min="28" max="28" width="5.28515625" bestFit="1" customWidth="1"/>
    <col min="29" max="29" width="5.28515625" customWidth="1"/>
    <col min="30" max="31" width="12.140625" hidden="1" customWidth="1"/>
    <col min="32" max="32" width="12.140625" customWidth="1"/>
    <col min="33" max="34" width="12.140625" hidden="1" customWidth="1"/>
    <col min="36" max="36" width="12.28515625" bestFit="1" customWidth="1"/>
    <col min="38" max="49" width="3.7109375" customWidth="1"/>
    <col min="50" max="61" width="3.85546875" customWidth="1"/>
    <col min="63" max="63" width="5" bestFit="1" customWidth="1"/>
    <col min="64" max="64" width="5.140625" bestFit="1" customWidth="1"/>
    <col min="65" max="101" width="6" bestFit="1" customWidth="1"/>
  </cols>
  <sheetData>
    <row r="1" spans="1:101" x14ac:dyDescent="0.25">
      <c r="A1" s="32" t="s">
        <v>34</v>
      </c>
      <c r="AJ1" s="26" t="s">
        <v>29</v>
      </c>
      <c r="AK1" s="26" t="s">
        <v>28</v>
      </c>
      <c r="AL1" s="149" t="s">
        <v>45</v>
      </c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</row>
    <row r="2" spans="1:101" ht="15.75" thickBot="1" x14ac:dyDescent="0.3">
      <c r="A2" s="32" t="s">
        <v>40</v>
      </c>
      <c r="AJ2">
        <v>1</v>
      </c>
      <c r="AK2">
        <v>35</v>
      </c>
      <c r="AL2" s="30">
        <v>0</v>
      </c>
      <c r="BL2" s="37">
        <v>6.0000000000000001E-3</v>
      </c>
      <c r="BM2" s="38">
        <v>0</v>
      </c>
      <c r="BN2" s="39">
        <v>32</v>
      </c>
      <c r="BO2" s="40">
        <v>15</v>
      </c>
      <c r="BP2" s="39">
        <v>19</v>
      </c>
      <c r="BQ2" s="40">
        <v>4</v>
      </c>
      <c r="BR2" s="39">
        <v>21</v>
      </c>
      <c r="BS2" s="40">
        <v>2</v>
      </c>
      <c r="BT2" s="39">
        <v>25</v>
      </c>
      <c r="BU2" s="40">
        <v>17</v>
      </c>
      <c r="BV2" s="39">
        <v>34</v>
      </c>
      <c r="BW2" s="40">
        <v>6</v>
      </c>
      <c r="BX2" s="39">
        <v>27</v>
      </c>
      <c r="BY2" s="40">
        <v>13</v>
      </c>
      <c r="BZ2" s="39">
        <v>36</v>
      </c>
      <c r="CA2" s="40">
        <v>11</v>
      </c>
      <c r="CB2" s="39">
        <v>30</v>
      </c>
      <c r="CC2" s="40">
        <v>8</v>
      </c>
      <c r="CD2" s="39">
        <v>23</v>
      </c>
      <c r="CE2" s="40">
        <v>10</v>
      </c>
      <c r="CF2" s="39">
        <v>5</v>
      </c>
      <c r="CG2" s="40">
        <v>24</v>
      </c>
      <c r="CH2" s="39">
        <v>16</v>
      </c>
      <c r="CI2" s="40">
        <v>33</v>
      </c>
      <c r="CJ2" s="39">
        <v>1</v>
      </c>
      <c r="CK2" s="40">
        <v>20</v>
      </c>
      <c r="CL2" s="39">
        <v>14</v>
      </c>
      <c r="CM2" s="40">
        <v>31</v>
      </c>
      <c r="CN2" s="39">
        <v>9</v>
      </c>
      <c r="CO2" s="40">
        <v>22</v>
      </c>
      <c r="CP2" s="39">
        <v>18</v>
      </c>
      <c r="CQ2" s="40">
        <v>29</v>
      </c>
      <c r="CR2" s="39">
        <v>7</v>
      </c>
      <c r="CS2" s="40">
        <v>28</v>
      </c>
      <c r="CT2" s="39">
        <v>12</v>
      </c>
      <c r="CU2" s="40">
        <v>35</v>
      </c>
      <c r="CV2" s="39">
        <v>3</v>
      </c>
      <c r="CW2" s="40">
        <v>26</v>
      </c>
    </row>
    <row r="3" spans="1:101" ht="19.5" thickBot="1" x14ac:dyDescent="0.35">
      <c r="B3" s="4"/>
      <c r="C3" s="5"/>
      <c r="D3" s="6">
        <v>3</v>
      </c>
      <c r="E3" s="5"/>
      <c r="F3" s="7">
        <v>6</v>
      </c>
      <c r="G3" s="5"/>
      <c r="H3" s="6">
        <v>9</v>
      </c>
      <c r="I3" s="5"/>
      <c r="J3" s="6">
        <v>12</v>
      </c>
      <c r="K3" s="5"/>
      <c r="L3" s="7">
        <v>15</v>
      </c>
      <c r="M3" s="5"/>
      <c r="N3" s="6">
        <v>18</v>
      </c>
      <c r="O3" s="5"/>
      <c r="P3" s="6">
        <v>21</v>
      </c>
      <c r="Q3" s="5"/>
      <c r="R3" s="7">
        <v>24</v>
      </c>
      <c r="S3" s="5"/>
      <c r="T3" s="6">
        <v>27</v>
      </c>
      <c r="U3" s="5"/>
      <c r="V3" s="6">
        <v>30</v>
      </c>
      <c r="W3" s="5"/>
      <c r="X3" s="7">
        <v>33</v>
      </c>
      <c r="Y3" s="5"/>
      <c r="Z3" s="6">
        <v>36</v>
      </c>
      <c r="AA3" s="27"/>
      <c r="AB3" s="22" t="s">
        <v>5</v>
      </c>
      <c r="AJ3">
        <v>3</v>
      </c>
      <c r="AK3">
        <v>35</v>
      </c>
      <c r="AL3" s="30">
        <v>3</v>
      </c>
      <c r="BK3" s="41" t="s">
        <v>39</v>
      </c>
      <c r="BL3" s="42">
        <v>0</v>
      </c>
      <c r="BM3" s="43">
        <v>0</v>
      </c>
      <c r="BN3" s="44">
        <f t="shared" ref="BN3:CE18" si="0">BN4+$BL$2</f>
        <v>6.0000000000000001E-3</v>
      </c>
      <c r="BO3" s="44">
        <f t="shared" si="0"/>
        <v>1.2E-2</v>
      </c>
      <c r="BP3" s="44">
        <f t="shared" si="0"/>
        <v>1.8000000000000002E-2</v>
      </c>
      <c r="BQ3" s="44">
        <f t="shared" si="0"/>
        <v>2.4E-2</v>
      </c>
      <c r="BR3" s="44">
        <f t="shared" si="0"/>
        <v>0.03</v>
      </c>
      <c r="BS3" s="44">
        <f t="shared" si="0"/>
        <v>3.5999999999999997E-2</v>
      </c>
      <c r="BT3" s="44">
        <f t="shared" si="0"/>
        <v>4.1999999999999996E-2</v>
      </c>
      <c r="BU3" s="44">
        <f t="shared" si="0"/>
        <v>4.7999999999999994E-2</v>
      </c>
      <c r="BV3" s="44">
        <f t="shared" si="0"/>
        <v>5.3999999999999992E-2</v>
      </c>
      <c r="BW3" s="44">
        <f t="shared" si="0"/>
        <v>5.9999999999999991E-2</v>
      </c>
      <c r="BX3" s="44">
        <f t="shared" si="0"/>
        <v>6.5999999999999989E-2</v>
      </c>
      <c r="BY3" s="44">
        <f t="shared" si="0"/>
        <v>7.1999999999999995E-2</v>
      </c>
      <c r="BZ3" s="44">
        <f t="shared" si="0"/>
        <v>7.8E-2</v>
      </c>
      <c r="CA3" s="44">
        <f t="shared" si="0"/>
        <v>8.4000000000000005E-2</v>
      </c>
      <c r="CB3" s="44">
        <f t="shared" si="0"/>
        <v>9.0000000000000011E-2</v>
      </c>
      <c r="CC3" s="44">
        <f t="shared" si="0"/>
        <v>9.6000000000000016E-2</v>
      </c>
      <c r="CD3" s="45">
        <f t="shared" si="0"/>
        <v>0.10200000000000002</v>
      </c>
      <c r="CE3" s="46">
        <f t="shared" si="0"/>
        <v>0.10800000000000003</v>
      </c>
      <c r="CF3" s="47">
        <f>CF39+$BL$2</f>
        <v>0.10800000000000003</v>
      </c>
      <c r="CG3" s="44">
        <f t="shared" ref="CG3:CW14" si="1">CG4-$BL$2</f>
        <v>0.10200000000000002</v>
      </c>
      <c r="CH3" s="44">
        <f t="shared" si="1"/>
        <v>9.6000000000000016E-2</v>
      </c>
      <c r="CI3" s="44">
        <f t="shared" si="1"/>
        <v>9.0000000000000011E-2</v>
      </c>
      <c r="CJ3" s="44">
        <f t="shared" si="1"/>
        <v>8.4000000000000005E-2</v>
      </c>
      <c r="CK3" s="44">
        <f t="shared" si="1"/>
        <v>7.8E-2</v>
      </c>
      <c r="CL3" s="44">
        <f t="shared" si="1"/>
        <v>7.1999999999999995E-2</v>
      </c>
      <c r="CM3" s="44">
        <f t="shared" si="1"/>
        <v>6.5999999999999989E-2</v>
      </c>
      <c r="CN3" s="44">
        <f t="shared" si="1"/>
        <v>5.9999999999999991E-2</v>
      </c>
      <c r="CO3" s="44">
        <f t="shared" si="1"/>
        <v>5.3999999999999992E-2</v>
      </c>
      <c r="CP3" s="44">
        <f t="shared" si="1"/>
        <v>4.7999999999999994E-2</v>
      </c>
      <c r="CQ3" s="44">
        <f t="shared" si="1"/>
        <v>4.1999999999999996E-2</v>
      </c>
      <c r="CR3" s="44">
        <f t="shared" si="1"/>
        <v>3.5999999999999997E-2</v>
      </c>
      <c r="CS3" s="44">
        <f t="shared" si="1"/>
        <v>0.03</v>
      </c>
      <c r="CT3" s="44">
        <f t="shared" si="1"/>
        <v>2.4E-2</v>
      </c>
      <c r="CU3" s="44">
        <f t="shared" si="1"/>
        <v>1.8000000000000002E-2</v>
      </c>
      <c r="CV3" s="44">
        <f t="shared" si="1"/>
        <v>1.2000000000000002E-2</v>
      </c>
      <c r="CW3" s="44">
        <f t="shared" si="1"/>
        <v>6.0000000000000019E-3</v>
      </c>
    </row>
    <row r="4" spans="1:101" ht="19.5" thickBot="1" x14ac:dyDescent="0.35">
      <c r="A4" s="32" t="s">
        <v>35</v>
      </c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14"/>
      <c r="AB4" s="23"/>
      <c r="AJ4">
        <v>5</v>
      </c>
      <c r="AK4">
        <v>35</v>
      </c>
      <c r="AL4" s="30">
        <v>6</v>
      </c>
      <c r="BK4" s="41" t="s">
        <v>8</v>
      </c>
      <c r="BL4" s="48">
        <v>32</v>
      </c>
      <c r="BM4" s="44">
        <f t="shared" ref="BM4:CB19" si="2">BM3+$BL$2</f>
        <v>6.0000000000000001E-3</v>
      </c>
      <c r="BN4" s="43">
        <v>0</v>
      </c>
      <c r="BO4" s="44">
        <f t="shared" si="0"/>
        <v>6.0000000000000001E-3</v>
      </c>
      <c r="BP4" s="44">
        <f t="shared" si="0"/>
        <v>1.2E-2</v>
      </c>
      <c r="BQ4" s="44">
        <f t="shared" si="0"/>
        <v>1.8000000000000002E-2</v>
      </c>
      <c r="BR4" s="44">
        <f t="shared" si="0"/>
        <v>2.4E-2</v>
      </c>
      <c r="BS4" s="44">
        <f t="shared" si="0"/>
        <v>0.03</v>
      </c>
      <c r="BT4" s="44">
        <f t="shared" si="0"/>
        <v>3.5999999999999997E-2</v>
      </c>
      <c r="BU4" s="44">
        <f t="shared" si="0"/>
        <v>4.1999999999999996E-2</v>
      </c>
      <c r="BV4" s="44">
        <f t="shared" si="0"/>
        <v>4.7999999999999994E-2</v>
      </c>
      <c r="BW4" s="44">
        <f t="shared" si="0"/>
        <v>5.3999999999999992E-2</v>
      </c>
      <c r="BX4" s="44">
        <f t="shared" si="0"/>
        <v>5.9999999999999991E-2</v>
      </c>
      <c r="BY4" s="44">
        <f t="shared" si="0"/>
        <v>6.5999999999999989E-2</v>
      </c>
      <c r="BZ4" s="44">
        <f t="shared" si="0"/>
        <v>7.1999999999999995E-2</v>
      </c>
      <c r="CA4" s="44">
        <f t="shared" si="0"/>
        <v>7.8E-2</v>
      </c>
      <c r="CB4" s="44">
        <f t="shared" si="0"/>
        <v>8.4000000000000005E-2</v>
      </c>
      <c r="CC4" s="44">
        <f t="shared" si="0"/>
        <v>9.0000000000000011E-2</v>
      </c>
      <c r="CD4" s="45">
        <f t="shared" si="0"/>
        <v>9.6000000000000016E-2</v>
      </c>
      <c r="CE4" s="45">
        <f t="shared" si="0"/>
        <v>0.10200000000000002</v>
      </c>
      <c r="CF4" s="46">
        <f t="shared" ref="CF4:CT18" si="3">CF5+$BL$2</f>
        <v>0.10800000000000003</v>
      </c>
      <c r="CG4" s="47">
        <f>CG5</f>
        <v>0.10800000000000003</v>
      </c>
      <c r="CH4" s="44">
        <f t="shared" si="1"/>
        <v>0.10200000000000002</v>
      </c>
      <c r="CI4" s="44">
        <f t="shared" si="1"/>
        <v>9.6000000000000016E-2</v>
      </c>
      <c r="CJ4" s="44">
        <f t="shared" si="1"/>
        <v>9.0000000000000011E-2</v>
      </c>
      <c r="CK4" s="44">
        <f t="shared" si="1"/>
        <v>8.4000000000000005E-2</v>
      </c>
      <c r="CL4" s="44">
        <f t="shared" si="1"/>
        <v>7.8E-2</v>
      </c>
      <c r="CM4" s="44">
        <f t="shared" si="1"/>
        <v>7.1999999999999995E-2</v>
      </c>
      <c r="CN4" s="44">
        <f t="shared" si="1"/>
        <v>6.5999999999999989E-2</v>
      </c>
      <c r="CO4" s="44">
        <f t="shared" si="1"/>
        <v>5.9999999999999991E-2</v>
      </c>
      <c r="CP4" s="44">
        <f t="shared" si="1"/>
        <v>5.3999999999999992E-2</v>
      </c>
      <c r="CQ4" s="44">
        <f t="shared" si="1"/>
        <v>4.7999999999999994E-2</v>
      </c>
      <c r="CR4" s="44">
        <f t="shared" si="1"/>
        <v>4.1999999999999996E-2</v>
      </c>
      <c r="CS4" s="44">
        <f t="shared" si="1"/>
        <v>3.5999999999999997E-2</v>
      </c>
      <c r="CT4" s="44">
        <f t="shared" si="1"/>
        <v>0.03</v>
      </c>
      <c r="CU4" s="44">
        <f t="shared" si="1"/>
        <v>2.4E-2</v>
      </c>
      <c r="CV4" s="44">
        <f t="shared" si="1"/>
        <v>1.8000000000000002E-2</v>
      </c>
      <c r="CW4" s="44">
        <f t="shared" si="1"/>
        <v>1.2000000000000002E-2</v>
      </c>
    </row>
    <row r="5" spans="1:101" ht="19.5" thickBot="1" x14ac:dyDescent="0.35">
      <c r="A5" s="32" t="s">
        <v>36</v>
      </c>
      <c r="B5" s="10">
        <v>0</v>
      </c>
      <c r="C5" s="9"/>
      <c r="D5" s="11">
        <v>2</v>
      </c>
      <c r="E5" s="9"/>
      <c r="F5" s="12">
        <v>5</v>
      </c>
      <c r="G5" s="9"/>
      <c r="H5" s="11">
        <v>8</v>
      </c>
      <c r="I5" s="9"/>
      <c r="J5" s="11">
        <v>11</v>
      </c>
      <c r="K5" s="9"/>
      <c r="L5" s="12">
        <v>14</v>
      </c>
      <c r="M5" s="9"/>
      <c r="N5" s="11">
        <v>17</v>
      </c>
      <c r="O5" s="9"/>
      <c r="P5" s="11">
        <v>20</v>
      </c>
      <c r="Q5" s="9"/>
      <c r="R5" s="12">
        <v>23</v>
      </c>
      <c r="S5" s="9"/>
      <c r="T5" s="11">
        <v>26</v>
      </c>
      <c r="U5" s="9"/>
      <c r="V5" s="11">
        <v>29</v>
      </c>
      <c r="W5" s="9"/>
      <c r="X5" s="12">
        <v>32</v>
      </c>
      <c r="Y5" s="9"/>
      <c r="Z5" s="11">
        <v>35</v>
      </c>
      <c r="AA5" s="14"/>
      <c r="AB5" s="22" t="s">
        <v>4</v>
      </c>
      <c r="AJ5">
        <v>7</v>
      </c>
      <c r="AK5">
        <v>35</v>
      </c>
      <c r="AL5" s="30">
        <v>9</v>
      </c>
      <c r="BK5" s="41" t="s">
        <v>9</v>
      </c>
      <c r="BL5" s="49">
        <v>15</v>
      </c>
      <c r="BM5" s="44">
        <f t="shared" si="2"/>
        <v>1.2E-2</v>
      </c>
      <c r="BN5" s="44">
        <f t="shared" si="2"/>
        <v>6.0000000000000001E-3</v>
      </c>
      <c r="BO5" s="43">
        <v>0</v>
      </c>
      <c r="BP5" s="44">
        <f t="shared" si="0"/>
        <v>6.0000000000000001E-3</v>
      </c>
      <c r="BQ5" s="44">
        <f t="shared" si="0"/>
        <v>1.2E-2</v>
      </c>
      <c r="BR5" s="44">
        <f t="shared" si="0"/>
        <v>1.8000000000000002E-2</v>
      </c>
      <c r="BS5" s="44">
        <f t="shared" si="0"/>
        <v>2.4E-2</v>
      </c>
      <c r="BT5" s="44">
        <f t="shared" si="0"/>
        <v>0.03</v>
      </c>
      <c r="BU5" s="44">
        <f t="shared" si="0"/>
        <v>3.5999999999999997E-2</v>
      </c>
      <c r="BV5" s="44">
        <f t="shared" si="0"/>
        <v>4.1999999999999996E-2</v>
      </c>
      <c r="BW5" s="44">
        <f t="shared" si="0"/>
        <v>4.7999999999999994E-2</v>
      </c>
      <c r="BX5" s="44">
        <f t="shared" si="0"/>
        <v>5.3999999999999992E-2</v>
      </c>
      <c r="BY5" s="44">
        <f t="shared" si="0"/>
        <v>5.9999999999999991E-2</v>
      </c>
      <c r="BZ5" s="44">
        <f t="shared" si="0"/>
        <v>6.5999999999999989E-2</v>
      </c>
      <c r="CA5" s="44">
        <f t="shared" si="0"/>
        <v>7.1999999999999995E-2</v>
      </c>
      <c r="CB5" s="44">
        <f t="shared" si="0"/>
        <v>7.8E-2</v>
      </c>
      <c r="CC5" s="44">
        <f t="shared" si="0"/>
        <v>8.4000000000000005E-2</v>
      </c>
      <c r="CD5" s="45">
        <f t="shared" si="0"/>
        <v>9.0000000000000011E-2</v>
      </c>
      <c r="CE5" s="45">
        <f t="shared" si="0"/>
        <v>9.6000000000000016E-2</v>
      </c>
      <c r="CF5" s="45">
        <f t="shared" si="3"/>
        <v>0.10200000000000002</v>
      </c>
      <c r="CG5" s="47">
        <f t="shared" si="3"/>
        <v>0.10800000000000003</v>
      </c>
      <c r="CH5" s="47">
        <f>CH6</f>
        <v>0.10800000000000003</v>
      </c>
      <c r="CI5" s="44">
        <f t="shared" si="1"/>
        <v>0.10200000000000002</v>
      </c>
      <c r="CJ5" s="44">
        <f t="shared" si="1"/>
        <v>9.6000000000000016E-2</v>
      </c>
      <c r="CK5" s="44">
        <f t="shared" si="1"/>
        <v>9.0000000000000011E-2</v>
      </c>
      <c r="CL5" s="44">
        <f t="shared" si="1"/>
        <v>8.4000000000000005E-2</v>
      </c>
      <c r="CM5" s="44">
        <f t="shared" si="1"/>
        <v>7.8E-2</v>
      </c>
      <c r="CN5" s="44">
        <f t="shared" si="1"/>
        <v>7.1999999999999995E-2</v>
      </c>
      <c r="CO5" s="44">
        <f t="shared" si="1"/>
        <v>6.5999999999999989E-2</v>
      </c>
      <c r="CP5" s="44">
        <f t="shared" si="1"/>
        <v>5.9999999999999991E-2</v>
      </c>
      <c r="CQ5" s="44">
        <f t="shared" si="1"/>
        <v>5.3999999999999992E-2</v>
      </c>
      <c r="CR5" s="44">
        <f t="shared" si="1"/>
        <v>4.7999999999999994E-2</v>
      </c>
      <c r="CS5" s="44">
        <f t="shared" si="1"/>
        <v>4.1999999999999996E-2</v>
      </c>
      <c r="CT5" s="44">
        <f t="shared" si="1"/>
        <v>3.5999999999999997E-2</v>
      </c>
      <c r="CU5" s="44">
        <f t="shared" si="1"/>
        <v>0.03</v>
      </c>
      <c r="CV5" s="44">
        <f t="shared" si="1"/>
        <v>2.4E-2</v>
      </c>
      <c r="CW5" s="44">
        <f t="shared" si="1"/>
        <v>1.8000000000000002E-2</v>
      </c>
    </row>
    <row r="6" spans="1:101" ht="19.5" thickBot="1" x14ac:dyDescent="0.35">
      <c r="A6" s="32" t="s">
        <v>37</v>
      </c>
      <c r="B6" s="8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14"/>
      <c r="AB6" s="23"/>
      <c r="AJ6">
        <v>9</v>
      </c>
      <c r="AK6">
        <v>35</v>
      </c>
      <c r="AL6" s="30">
        <v>12</v>
      </c>
      <c r="BK6" s="41" t="s">
        <v>8</v>
      </c>
      <c r="BL6" s="48">
        <v>19</v>
      </c>
      <c r="BM6" s="44">
        <f t="shared" si="2"/>
        <v>1.8000000000000002E-2</v>
      </c>
      <c r="BN6" s="44">
        <f t="shared" si="2"/>
        <v>1.2E-2</v>
      </c>
      <c r="BO6" s="44">
        <f t="shared" si="2"/>
        <v>6.0000000000000001E-3</v>
      </c>
      <c r="BP6" s="43">
        <v>0</v>
      </c>
      <c r="BQ6" s="44">
        <f t="shared" si="0"/>
        <v>6.0000000000000001E-3</v>
      </c>
      <c r="BR6" s="44">
        <f t="shared" si="0"/>
        <v>1.2E-2</v>
      </c>
      <c r="BS6" s="44">
        <f t="shared" si="0"/>
        <v>1.8000000000000002E-2</v>
      </c>
      <c r="BT6" s="44">
        <f t="shared" si="0"/>
        <v>2.4E-2</v>
      </c>
      <c r="BU6" s="44">
        <f t="shared" si="0"/>
        <v>0.03</v>
      </c>
      <c r="BV6" s="44">
        <f t="shared" si="0"/>
        <v>3.5999999999999997E-2</v>
      </c>
      <c r="BW6" s="44">
        <f t="shared" si="0"/>
        <v>4.1999999999999996E-2</v>
      </c>
      <c r="BX6" s="44">
        <f t="shared" si="0"/>
        <v>4.7999999999999994E-2</v>
      </c>
      <c r="BY6" s="44">
        <f t="shared" si="0"/>
        <v>5.3999999999999992E-2</v>
      </c>
      <c r="BZ6" s="44">
        <f t="shared" si="0"/>
        <v>5.9999999999999991E-2</v>
      </c>
      <c r="CA6" s="44">
        <f t="shared" si="0"/>
        <v>6.5999999999999989E-2</v>
      </c>
      <c r="CB6" s="44">
        <f t="shared" si="0"/>
        <v>7.1999999999999995E-2</v>
      </c>
      <c r="CC6" s="44">
        <f t="shared" si="0"/>
        <v>7.8E-2</v>
      </c>
      <c r="CD6" s="45">
        <f t="shared" si="0"/>
        <v>8.4000000000000005E-2</v>
      </c>
      <c r="CE6" s="45">
        <f t="shared" si="0"/>
        <v>9.0000000000000011E-2</v>
      </c>
      <c r="CF6" s="45">
        <f t="shared" si="3"/>
        <v>9.6000000000000016E-2</v>
      </c>
      <c r="CG6" s="44">
        <f t="shared" si="3"/>
        <v>0.10200000000000002</v>
      </c>
      <c r="CH6" s="47">
        <f t="shared" si="3"/>
        <v>0.10800000000000003</v>
      </c>
      <c r="CI6" s="47">
        <f>CI7</f>
        <v>0.10800000000000003</v>
      </c>
      <c r="CJ6" s="44">
        <f t="shared" si="1"/>
        <v>0.10200000000000002</v>
      </c>
      <c r="CK6" s="44">
        <f t="shared" si="1"/>
        <v>9.6000000000000016E-2</v>
      </c>
      <c r="CL6" s="44">
        <f t="shared" si="1"/>
        <v>9.0000000000000011E-2</v>
      </c>
      <c r="CM6" s="44">
        <f t="shared" si="1"/>
        <v>8.4000000000000005E-2</v>
      </c>
      <c r="CN6" s="44">
        <f t="shared" si="1"/>
        <v>7.8E-2</v>
      </c>
      <c r="CO6" s="44">
        <f t="shared" si="1"/>
        <v>7.1999999999999995E-2</v>
      </c>
      <c r="CP6" s="44">
        <f t="shared" si="1"/>
        <v>6.5999999999999989E-2</v>
      </c>
      <c r="CQ6" s="44">
        <f t="shared" si="1"/>
        <v>5.9999999999999991E-2</v>
      </c>
      <c r="CR6" s="44">
        <f t="shared" si="1"/>
        <v>5.3999999999999992E-2</v>
      </c>
      <c r="CS6" s="44">
        <f t="shared" si="1"/>
        <v>4.7999999999999994E-2</v>
      </c>
      <c r="CT6" s="44">
        <f t="shared" si="1"/>
        <v>4.1999999999999996E-2</v>
      </c>
      <c r="CU6" s="44">
        <f t="shared" si="1"/>
        <v>3.5999999999999997E-2</v>
      </c>
      <c r="CV6" s="44">
        <f t="shared" si="1"/>
        <v>0.03</v>
      </c>
      <c r="CW6" s="44">
        <f t="shared" si="1"/>
        <v>2.4E-2</v>
      </c>
    </row>
    <row r="7" spans="1:101" ht="19.5" thickBot="1" x14ac:dyDescent="0.35">
      <c r="A7" s="32" t="s">
        <v>38</v>
      </c>
      <c r="B7" s="8"/>
      <c r="C7" s="9"/>
      <c r="D7" s="12">
        <v>1</v>
      </c>
      <c r="E7" s="9"/>
      <c r="F7" s="11">
        <v>4</v>
      </c>
      <c r="G7" s="9"/>
      <c r="H7" s="12">
        <v>7</v>
      </c>
      <c r="I7" s="9"/>
      <c r="J7" s="11">
        <v>10</v>
      </c>
      <c r="K7" s="9"/>
      <c r="L7" s="11">
        <v>13</v>
      </c>
      <c r="M7" s="9"/>
      <c r="N7" s="12">
        <v>16</v>
      </c>
      <c r="O7" s="9"/>
      <c r="P7" s="12">
        <v>19</v>
      </c>
      <c r="Q7" s="9"/>
      <c r="R7" s="11">
        <v>22</v>
      </c>
      <c r="S7" s="9"/>
      <c r="T7" s="12">
        <v>25</v>
      </c>
      <c r="U7" s="9"/>
      <c r="V7" s="11">
        <v>28</v>
      </c>
      <c r="W7" s="9"/>
      <c r="X7" s="11">
        <v>31</v>
      </c>
      <c r="Y7" s="9"/>
      <c r="Z7" s="12">
        <v>34</v>
      </c>
      <c r="AA7" s="14"/>
      <c r="AB7" s="22" t="s">
        <v>3</v>
      </c>
      <c r="AJ7">
        <v>11</v>
      </c>
      <c r="AK7">
        <v>35</v>
      </c>
      <c r="AL7" s="30">
        <v>15</v>
      </c>
      <c r="BK7" s="41" t="s">
        <v>9</v>
      </c>
      <c r="BL7" s="49">
        <v>4</v>
      </c>
      <c r="BM7" s="44">
        <f t="shared" si="2"/>
        <v>2.4E-2</v>
      </c>
      <c r="BN7" s="44">
        <f t="shared" si="2"/>
        <v>1.8000000000000002E-2</v>
      </c>
      <c r="BO7" s="44">
        <f t="shared" si="2"/>
        <v>1.2E-2</v>
      </c>
      <c r="BP7" s="44">
        <f t="shared" si="2"/>
        <v>6.0000000000000001E-3</v>
      </c>
      <c r="BQ7" s="43">
        <v>0</v>
      </c>
      <c r="BR7" s="44">
        <f t="shared" si="0"/>
        <v>6.0000000000000001E-3</v>
      </c>
      <c r="BS7" s="44">
        <f t="shared" si="0"/>
        <v>1.2E-2</v>
      </c>
      <c r="BT7" s="44">
        <f t="shared" si="0"/>
        <v>1.8000000000000002E-2</v>
      </c>
      <c r="BU7" s="44">
        <f t="shared" si="0"/>
        <v>2.4E-2</v>
      </c>
      <c r="BV7" s="44">
        <f t="shared" si="0"/>
        <v>0.03</v>
      </c>
      <c r="BW7" s="44">
        <f t="shared" si="0"/>
        <v>3.5999999999999997E-2</v>
      </c>
      <c r="BX7" s="44">
        <f t="shared" si="0"/>
        <v>4.1999999999999996E-2</v>
      </c>
      <c r="BY7" s="44">
        <f t="shared" si="0"/>
        <v>4.7999999999999994E-2</v>
      </c>
      <c r="BZ7" s="44">
        <f t="shared" si="0"/>
        <v>5.3999999999999992E-2</v>
      </c>
      <c r="CA7" s="44">
        <f t="shared" si="0"/>
        <v>5.9999999999999991E-2</v>
      </c>
      <c r="CB7" s="44">
        <f t="shared" si="0"/>
        <v>6.5999999999999989E-2</v>
      </c>
      <c r="CC7" s="44">
        <f t="shared" si="0"/>
        <v>7.1999999999999995E-2</v>
      </c>
      <c r="CD7" s="45">
        <f t="shared" si="0"/>
        <v>7.8E-2</v>
      </c>
      <c r="CE7" s="45">
        <f t="shared" si="0"/>
        <v>8.4000000000000005E-2</v>
      </c>
      <c r="CF7" s="45">
        <f t="shared" si="3"/>
        <v>9.0000000000000011E-2</v>
      </c>
      <c r="CG7" s="44">
        <f t="shared" si="3"/>
        <v>9.6000000000000016E-2</v>
      </c>
      <c r="CH7" s="44">
        <f t="shared" si="3"/>
        <v>0.10200000000000002</v>
      </c>
      <c r="CI7" s="47">
        <f t="shared" si="3"/>
        <v>0.10800000000000003</v>
      </c>
      <c r="CJ7" s="47">
        <f>CJ8</f>
        <v>0.10800000000000003</v>
      </c>
      <c r="CK7" s="44">
        <f t="shared" si="1"/>
        <v>0.10200000000000002</v>
      </c>
      <c r="CL7" s="44">
        <f t="shared" si="1"/>
        <v>9.6000000000000016E-2</v>
      </c>
      <c r="CM7" s="44">
        <f t="shared" si="1"/>
        <v>9.0000000000000011E-2</v>
      </c>
      <c r="CN7" s="44">
        <f t="shared" si="1"/>
        <v>8.4000000000000005E-2</v>
      </c>
      <c r="CO7" s="44">
        <f t="shared" si="1"/>
        <v>7.8E-2</v>
      </c>
      <c r="CP7" s="44">
        <f t="shared" si="1"/>
        <v>7.1999999999999995E-2</v>
      </c>
      <c r="CQ7" s="44">
        <f t="shared" si="1"/>
        <v>6.5999999999999989E-2</v>
      </c>
      <c r="CR7" s="44">
        <f t="shared" si="1"/>
        <v>5.9999999999999991E-2</v>
      </c>
      <c r="CS7" s="44">
        <f t="shared" si="1"/>
        <v>5.3999999999999992E-2</v>
      </c>
      <c r="CT7" s="44">
        <f t="shared" si="1"/>
        <v>4.7999999999999994E-2</v>
      </c>
      <c r="CU7" s="44">
        <f t="shared" si="1"/>
        <v>4.1999999999999996E-2</v>
      </c>
      <c r="CV7" s="44">
        <f t="shared" si="1"/>
        <v>3.5999999999999997E-2</v>
      </c>
      <c r="CW7" s="44">
        <f t="shared" si="1"/>
        <v>0.03</v>
      </c>
    </row>
    <row r="8" spans="1:101" ht="15.75" thickBot="1" x14ac:dyDescent="0.3">
      <c r="A8" s="32">
        <v>0</v>
      </c>
      <c r="B8" s="13"/>
      <c r="C8" s="24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14"/>
      <c r="AB8" s="15"/>
      <c r="AJ8">
        <v>13</v>
      </c>
      <c r="AK8">
        <v>35</v>
      </c>
      <c r="AL8" s="30">
        <v>18</v>
      </c>
      <c r="BK8" s="41" t="s">
        <v>8</v>
      </c>
      <c r="BL8" s="48">
        <v>21</v>
      </c>
      <c r="BM8" s="44">
        <f t="shared" si="2"/>
        <v>0.03</v>
      </c>
      <c r="BN8" s="44">
        <f t="shared" si="2"/>
        <v>2.4E-2</v>
      </c>
      <c r="BO8" s="44">
        <f t="shared" si="2"/>
        <v>1.8000000000000002E-2</v>
      </c>
      <c r="BP8" s="44">
        <f t="shared" si="2"/>
        <v>1.2E-2</v>
      </c>
      <c r="BQ8" s="44">
        <f t="shared" si="2"/>
        <v>6.0000000000000001E-3</v>
      </c>
      <c r="BR8" s="43">
        <v>0</v>
      </c>
      <c r="BS8" s="44">
        <f t="shared" si="0"/>
        <v>6.0000000000000001E-3</v>
      </c>
      <c r="BT8" s="44">
        <f t="shared" si="0"/>
        <v>1.2E-2</v>
      </c>
      <c r="BU8" s="44">
        <f t="shared" si="0"/>
        <v>1.8000000000000002E-2</v>
      </c>
      <c r="BV8" s="44">
        <f t="shared" si="0"/>
        <v>2.4E-2</v>
      </c>
      <c r="BW8" s="44">
        <f t="shared" si="0"/>
        <v>0.03</v>
      </c>
      <c r="BX8" s="44">
        <f t="shared" si="0"/>
        <v>3.5999999999999997E-2</v>
      </c>
      <c r="BY8" s="44">
        <f t="shared" si="0"/>
        <v>4.1999999999999996E-2</v>
      </c>
      <c r="BZ8" s="44">
        <f t="shared" si="0"/>
        <v>4.7999999999999994E-2</v>
      </c>
      <c r="CA8" s="44">
        <f t="shared" si="0"/>
        <v>5.3999999999999992E-2</v>
      </c>
      <c r="CB8" s="44">
        <f t="shared" si="0"/>
        <v>5.9999999999999991E-2</v>
      </c>
      <c r="CC8" s="44">
        <f t="shared" si="0"/>
        <v>6.5999999999999989E-2</v>
      </c>
      <c r="CD8" s="45">
        <f t="shared" si="0"/>
        <v>7.1999999999999995E-2</v>
      </c>
      <c r="CE8" s="45">
        <f t="shared" si="0"/>
        <v>7.8E-2</v>
      </c>
      <c r="CF8" s="45">
        <f t="shared" si="3"/>
        <v>8.4000000000000005E-2</v>
      </c>
      <c r="CG8" s="44">
        <f t="shared" si="3"/>
        <v>9.0000000000000011E-2</v>
      </c>
      <c r="CH8" s="44">
        <f t="shared" si="3"/>
        <v>9.6000000000000016E-2</v>
      </c>
      <c r="CI8" s="44">
        <f t="shared" si="3"/>
        <v>0.10200000000000002</v>
      </c>
      <c r="CJ8" s="47">
        <f t="shared" si="3"/>
        <v>0.10800000000000003</v>
      </c>
      <c r="CK8" s="47">
        <f>CK9</f>
        <v>0.10800000000000003</v>
      </c>
      <c r="CL8" s="44">
        <f t="shared" si="1"/>
        <v>0.10200000000000002</v>
      </c>
      <c r="CM8" s="44">
        <f t="shared" si="1"/>
        <v>9.6000000000000016E-2</v>
      </c>
      <c r="CN8" s="44">
        <f t="shared" si="1"/>
        <v>9.0000000000000011E-2</v>
      </c>
      <c r="CO8" s="44">
        <f t="shared" si="1"/>
        <v>8.4000000000000005E-2</v>
      </c>
      <c r="CP8" s="44">
        <f t="shared" si="1"/>
        <v>7.8E-2</v>
      </c>
      <c r="CQ8" s="44">
        <f t="shared" si="1"/>
        <v>7.1999999999999995E-2</v>
      </c>
      <c r="CR8" s="44">
        <f t="shared" si="1"/>
        <v>6.5999999999999989E-2</v>
      </c>
      <c r="CS8" s="44">
        <f t="shared" si="1"/>
        <v>5.9999999999999991E-2</v>
      </c>
      <c r="CT8" s="44">
        <f t="shared" si="1"/>
        <v>5.3999999999999992E-2</v>
      </c>
      <c r="CU8" s="44">
        <f t="shared" si="1"/>
        <v>4.7999999999999994E-2</v>
      </c>
      <c r="CV8" s="44">
        <f t="shared" si="1"/>
        <v>4.1999999999999996E-2</v>
      </c>
      <c r="CW8" s="44">
        <f t="shared" si="1"/>
        <v>3.5999999999999997E-2</v>
      </c>
    </row>
    <row r="9" spans="1:101" ht="15.75" thickBot="1" x14ac:dyDescent="0.3">
      <c r="A9" s="32">
        <v>2.5</v>
      </c>
      <c r="B9" s="13"/>
      <c r="C9" s="14"/>
      <c r="D9" s="1"/>
      <c r="E9" s="2"/>
      <c r="F9" s="2"/>
      <c r="G9" s="2" t="s">
        <v>0</v>
      </c>
      <c r="H9" s="2"/>
      <c r="I9" s="2"/>
      <c r="J9" s="3"/>
      <c r="K9" s="9"/>
      <c r="L9" s="1"/>
      <c r="M9" s="2"/>
      <c r="N9" s="2"/>
      <c r="O9" s="2" t="s">
        <v>1</v>
      </c>
      <c r="P9" s="2"/>
      <c r="Q9" s="2"/>
      <c r="R9" s="3"/>
      <c r="S9" s="9"/>
      <c r="T9" s="1"/>
      <c r="U9" s="2"/>
      <c r="V9" s="2"/>
      <c r="W9" s="2" t="s">
        <v>2</v>
      </c>
      <c r="X9" s="2"/>
      <c r="Y9" s="2"/>
      <c r="Z9" s="3"/>
      <c r="AA9" s="14"/>
      <c r="AB9" s="15"/>
      <c r="AJ9">
        <v>15</v>
      </c>
      <c r="AK9">
        <v>35</v>
      </c>
      <c r="AL9" s="30">
        <v>21</v>
      </c>
      <c r="BK9" s="41" t="s">
        <v>9</v>
      </c>
      <c r="BL9" s="49">
        <v>2</v>
      </c>
      <c r="BM9" s="44">
        <f t="shared" si="2"/>
        <v>3.5999999999999997E-2</v>
      </c>
      <c r="BN9" s="44">
        <f t="shared" si="2"/>
        <v>0.03</v>
      </c>
      <c r="BO9" s="44">
        <f t="shared" si="2"/>
        <v>2.4E-2</v>
      </c>
      <c r="BP9" s="44">
        <f t="shared" si="2"/>
        <v>1.8000000000000002E-2</v>
      </c>
      <c r="BQ9" s="44">
        <f t="shared" si="2"/>
        <v>1.2E-2</v>
      </c>
      <c r="BR9" s="44">
        <f t="shared" si="2"/>
        <v>6.0000000000000001E-3</v>
      </c>
      <c r="BS9" s="43">
        <v>0</v>
      </c>
      <c r="BT9" s="44">
        <f t="shared" si="0"/>
        <v>6.0000000000000001E-3</v>
      </c>
      <c r="BU9" s="44">
        <f t="shared" si="0"/>
        <v>1.2E-2</v>
      </c>
      <c r="BV9" s="44">
        <f t="shared" si="0"/>
        <v>1.8000000000000002E-2</v>
      </c>
      <c r="BW9" s="44">
        <f t="shared" si="0"/>
        <v>2.4E-2</v>
      </c>
      <c r="BX9" s="44">
        <f t="shared" si="0"/>
        <v>0.03</v>
      </c>
      <c r="BY9" s="44">
        <f t="shared" si="0"/>
        <v>3.5999999999999997E-2</v>
      </c>
      <c r="BZ9" s="44">
        <f t="shared" si="0"/>
        <v>4.1999999999999996E-2</v>
      </c>
      <c r="CA9" s="44">
        <f t="shared" si="0"/>
        <v>4.7999999999999994E-2</v>
      </c>
      <c r="CB9" s="44">
        <f t="shared" si="0"/>
        <v>5.3999999999999992E-2</v>
      </c>
      <c r="CC9" s="44">
        <f t="shared" si="0"/>
        <v>5.9999999999999991E-2</v>
      </c>
      <c r="CD9" s="45">
        <f t="shared" si="0"/>
        <v>6.5999999999999989E-2</v>
      </c>
      <c r="CE9" s="45">
        <f t="shared" si="0"/>
        <v>7.1999999999999995E-2</v>
      </c>
      <c r="CF9" s="45">
        <f t="shared" si="3"/>
        <v>7.8E-2</v>
      </c>
      <c r="CG9" s="44">
        <f t="shared" si="3"/>
        <v>8.4000000000000005E-2</v>
      </c>
      <c r="CH9" s="44">
        <f t="shared" si="3"/>
        <v>9.0000000000000011E-2</v>
      </c>
      <c r="CI9" s="44">
        <f t="shared" si="3"/>
        <v>9.6000000000000016E-2</v>
      </c>
      <c r="CJ9" s="44">
        <f t="shared" si="3"/>
        <v>0.10200000000000002</v>
      </c>
      <c r="CK9" s="47">
        <f t="shared" si="3"/>
        <v>0.10800000000000003</v>
      </c>
      <c r="CL9" s="47">
        <f>CL10</f>
        <v>0.10800000000000003</v>
      </c>
      <c r="CM9" s="44">
        <f t="shared" si="1"/>
        <v>0.10200000000000002</v>
      </c>
      <c r="CN9" s="44">
        <f t="shared" si="1"/>
        <v>9.6000000000000016E-2</v>
      </c>
      <c r="CO9" s="44">
        <f t="shared" si="1"/>
        <v>9.0000000000000011E-2</v>
      </c>
      <c r="CP9" s="44">
        <f t="shared" si="1"/>
        <v>8.4000000000000005E-2</v>
      </c>
      <c r="CQ9" s="44">
        <f t="shared" si="1"/>
        <v>7.8E-2</v>
      </c>
      <c r="CR9" s="44">
        <f t="shared" si="1"/>
        <v>7.1999999999999995E-2</v>
      </c>
      <c r="CS9" s="44">
        <f t="shared" si="1"/>
        <v>6.5999999999999989E-2</v>
      </c>
      <c r="CT9" s="44">
        <f t="shared" si="1"/>
        <v>5.9999999999999991E-2</v>
      </c>
      <c r="CU9" s="44">
        <f t="shared" si="1"/>
        <v>5.3999999999999992E-2</v>
      </c>
      <c r="CV9" s="44">
        <f t="shared" si="1"/>
        <v>4.7999999999999994E-2</v>
      </c>
      <c r="CW9" s="44">
        <f t="shared" si="1"/>
        <v>4.1999999999999996E-2</v>
      </c>
    </row>
    <row r="10" spans="1:101" ht="19.5" thickBot="1" x14ac:dyDescent="0.35">
      <c r="A10" s="32">
        <v>5</v>
      </c>
      <c r="B10" s="20"/>
      <c r="C10" s="17"/>
      <c r="D10" s="16"/>
      <c r="E10" s="16" t="s">
        <v>6</v>
      </c>
      <c r="F10" s="16"/>
      <c r="G10" s="17"/>
      <c r="H10" s="16" t="s">
        <v>7</v>
      </c>
      <c r="I10" s="16"/>
      <c r="J10" s="16"/>
      <c r="K10" s="16"/>
      <c r="L10" s="16"/>
      <c r="M10" s="18" t="s">
        <v>8</v>
      </c>
      <c r="N10" s="16"/>
      <c r="O10" s="17"/>
      <c r="P10" s="16"/>
      <c r="Q10" s="19" t="s">
        <v>9</v>
      </c>
      <c r="R10" s="16"/>
      <c r="S10" s="16"/>
      <c r="T10" s="16"/>
      <c r="U10" s="16" t="s">
        <v>10</v>
      </c>
      <c r="V10" s="16"/>
      <c r="W10" s="17"/>
      <c r="X10" s="16"/>
      <c r="Y10" s="16" t="s">
        <v>27</v>
      </c>
      <c r="Z10" s="16"/>
      <c r="AA10" s="17"/>
      <c r="AB10" s="21"/>
      <c r="AJ10">
        <v>17</v>
      </c>
      <c r="AK10">
        <v>35</v>
      </c>
      <c r="AL10" s="30">
        <v>24</v>
      </c>
      <c r="BK10" s="41" t="s">
        <v>8</v>
      </c>
      <c r="BL10" s="48">
        <v>25</v>
      </c>
      <c r="BM10" s="44">
        <f t="shared" si="2"/>
        <v>4.1999999999999996E-2</v>
      </c>
      <c r="BN10" s="44">
        <f t="shared" si="2"/>
        <v>3.5999999999999997E-2</v>
      </c>
      <c r="BO10" s="44">
        <f t="shared" si="2"/>
        <v>0.03</v>
      </c>
      <c r="BP10" s="44">
        <f t="shared" si="2"/>
        <v>2.4E-2</v>
      </c>
      <c r="BQ10" s="44">
        <f t="shared" si="2"/>
        <v>1.8000000000000002E-2</v>
      </c>
      <c r="BR10" s="44">
        <f t="shared" si="2"/>
        <v>1.2E-2</v>
      </c>
      <c r="BS10" s="44">
        <f t="shared" si="2"/>
        <v>6.0000000000000001E-3</v>
      </c>
      <c r="BT10" s="43">
        <v>0</v>
      </c>
      <c r="BU10" s="44">
        <f t="shared" si="0"/>
        <v>6.0000000000000001E-3</v>
      </c>
      <c r="BV10" s="44">
        <f t="shared" si="0"/>
        <v>1.2E-2</v>
      </c>
      <c r="BW10" s="44">
        <f t="shared" si="0"/>
        <v>1.8000000000000002E-2</v>
      </c>
      <c r="BX10" s="44">
        <f t="shared" si="0"/>
        <v>2.4E-2</v>
      </c>
      <c r="BY10" s="44">
        <f t="shared" si="0"/>
        <v>0.03</v>
      </c>
      <c r="BZ10" s="44">
        <f t="shared" si="0"/>
        <v>3.5999999999999997E-2</v>
      </c>
      <c r="CA10" s="44">
        <f t="shared" si="0"/>
        <v>4.1999999999999996E-2</v>
      </c>
      <c r="CB10" s="44">
        <f t="shared" si="0"/>
        <v>4.7999999999999994E-2</v>
      </c>
      <c r="CC10" s="44">
        <f t="shared" si="0"/>
        <v>5.3999999999999992E-2</v>
      </c>
      <c r="CD10" s="45">
        <f t="shared" si="0"/>
        <v>5.9999999999999991E-2</v>
      </c>
      <c r="CE10" s="45">
        <f t="shared" si="0"/>
        <v>6.5999999999999989E-2</v>
      </c>
      <c r="CF10" s="45">
        <f t="shared" si="3"/>
        <v>7.1999999999999995E-2</v>
      </c>
      <c r="CG10" s="44">
        <f t="shared" si="3"/>
        <v>7.8E-2</v>
      </c>
      <c r="CH10" s="44">
        <f t="shared" si="3"/>
        <v>8.4000000000000005E-2</v>
      </c>
      <c r="CI10" s="44">
        <f t="shared" si="3"/>
        <v>9.0000000000000011E-2</v>
      </c>
      <c r="CJ10" s="44">
        <f t="shared" si="3"/>
        <v>9.6000000000000016E-2</v>
      </c>
      <c r="CK10" s="44">
        <f t="shared" si="3"/>
        <v>0.10200000000000002</v>
      </c>
      <c r="CL10" s="47">
        <f t="shared" si="3"/>
        <v>0.10800000000000003</v>
      </c>
      <c r="CM10" s="47">
        <f>CM11</f>
        <v>0.10800000000000003</v>
      </c>
      <c r="CN10" s="44">
        <f t="shared" si="1"/>
        <v>0.10200000000000002</v>
      </c>
      <c r="CO10" s="44">
        <f t="shared" si="1"/>
        <v>9.6000000000000016E-2</v>
      </c>
      <c r="CP10" s="44">
        <f t="shared" si="1"/>
        <v>9.0000000000000011E-2</v>
      </c>
      <c r="CQ10" s="44">
        <f t="shared" si="1"/>
        <v>8.4000000000000005E-2</v>
      </c>
      <c r="CR10" s="44">
        <f t="shared" si="1"/>
        <v>7.8E-2</v>
      </c>
      <c r="CS10" s="44">
        <f t="shared" si="1"/>
        <v>7.1999999999999995E-2</v>
      </c>
      <c r="CT10" s="44">
        <f t="shared" si="1"/>
        <v>6.5999999999999989E-2</v>
      </c>
      <c r="CU10" s="44">
        <f t="shared" si="1"/>
        <v>5.9999999999999991E-2</v>
      </c>
      <c r="CV10" s="44">
        <f t="shared" si="1"/>
        <v>5.3999999999999992E-2</v>
      </c>
      <c r="CW10" s="44">
        <f t="shared" si="1"/>
        <v>4.7999999999999994E-2</v>
      </c>
    </row>
    <row r="11" spans="1:101" ht="15.75" thickBot="1" x14ac:dyDescent="0.3">
      <c r="A11" s="32">
        <v>7.5</v>
      </c>
      <c r="AJ11">
        <v>19</v>
      </c>
      <c r="AK11">
        <v>35</v>
      </c>
      <c r="AL11" s="30">
        <v>27</v>
      </c>
      <c r="BK11" s="41" t="s">
        <v>9</v>
      </c>
      <c r="BL11" s="49">
        <v>17</v>
      </c>
      <c r="BM11" s="44">
        <f t="shared" si="2"/>
        <v>4.7999999999999994E-2</v>
      </c>
      <c r="BN11" s="44">
        <f t="shared" si="2"/>
        <v>4.1999999999999996E-2</v>
      </c>
      <c r="BO11" s="44">
        <f t="shared" si="2"/>
        <v>3.5999999999999997E-2</v>
      </c>
      <c r="BP11" s="44">
        <f t="shared" si="2"/>
        <v>0.03</v>
      </c>
      <c r="BQ11" s="44">
        <f t="shared" si="2"/>
        <v>2.4E-2</v>
      </c>
      <c r="BR11" s="44">
        <f t="shared" si="2"/>
        <v>1.8000000000000002E-2</v>
      </c>
      <c r="BS11" s="44">
        <f t="shared" si="2"/>
        <v>1.2E-2</v>
      </c>
      <c r="BT11" s="44">
        <f t="shared" si="2"/>
        <v>6.0000000000000001E-3</v>
      </c>
      <c r="BU11" s="43">
        <v>0</v>
      </c>
      <c r="BV11" s="44">
        <f t="shared" si="0"/>
        <v>6.0000000000000001E-3</v>
      </c>
      <c r="BW11" s="44">
        <f t="shared" si="0"/>
        <v>1.2E-2</v>
      </c>
      <c r="BX11" s="44">
        <f t="shared" si="0"/>
        <v>1.8000000000000002E-2</v>
      </c>
      <c r="BY11" s="44">
        <f t="shared" si="0"/>
        <v>2.4E-2</v>
      </c>
      <c r="BZ11" s="44">
        <f t="shared" si="0"/>
        <v>0.03</v>
      </c>
      <c r="CA11" s="44">
        <f t="shared" si="0"/>
        <v>3.5999999999999997E-2</v>
      </c>
      <c r="CB11" s="44">
        <f t="shared" si="0"/>
        <v>4.1999999999999996E-2</v>
      </c>
      <c r="CC11" s="44">
        <f t="shared" si="0"/>
        <v>4.7999999999999994E-2</v>
      </c>
      <c r="CD11" s="45">
        <f t="shared" si="0"/>
        <v>5.3999999999999992E-2</v>
      </c>
      <c r="CE11" s="45">
        <f t="shared" si="0"/>
        <v>5.9999999999999991E-2</v>
      </c>
      <c r="CF11" s="45">
        <f t="shared" si="3"/>
        <v>6.5999999999999989E-2</v>
      </c>
      <c r="CG11" s="44">
        <f t="shared" si="3"/>
        <v>7.1999999999999995E-2</v>
      </c>
      <c r="CH11" s="44">
        <f t="shared" si="3"/>
        <v>7.8E-2</v>
      </c>
      <c r="CI11" s="44">
        <f t="shared" si="3"/>
        <v>8.4000000000000005E-2</v>
      </c>
      <c r="CJ11" s="44">
        <f t="shared" si="3"/>
        <v>9.0000000000000011E-2</v>
      </c>
      <c r="CK11" s="44">
        <f t="shared" si="3"/>
        <v>9.6000000000000016E-2</v>
      </c>
      <c r="CL11" s="44">
        <f t="shared" si="3"/>
        <v>0.10200000000000002</v>
      </c>
      <c r="CM11" s="47">
        <f t="shared" si="3"/>
        <v>0.10800000000000003</v>
      </c>
      <c r="CN11" s="47">
        <f>CN12</f>
        <v>0.10800000000000003</v>
      </c>
      <c r="CO11" s="44">
        <f t="shared" si="1"/>
        <v>0.10200000000000002</v>
      </c>
      <c r="CP11" s="44">
        <f t="shared" si="1"/>
        <v>9.6000000000000016E-2</v>
      </c>
      <c r="CQ11" s="44">
        <f t="shared" si="1"/>
        <v>9.0000000000000011E-2</v>
      </c>
      <c r="CR11" s="44">
        <f t="shared" si="1"/>
        <v>8.4000000000000005E-2</v>
      </c>
      <c r="CS11" s="44">
        <f t="shared" si="1"/>
        <v>7.8E-2</v>
      </c>
      <c r="CT11" s="44">
        <f t="shared" si="1"/>
        <v>7.1999999999999995E-2</v>
      </c>
      <c r="CU11" s="44">
        <f t="shared" si="1"/>
        <v>6.5999999999999989E-2</v>
      </c>
      <c r="CV11" s="44">
        <f t="shared" si="1"/>
        <v>5.9999999999999991E-2</v>
      </c>
      <c r="CW11" s="44">
        <f t="shared" si="1"/>
        <v>5.3999999999999992E-2</v>
      </c>
    </row>
    <row r="12" spans="1:101" x14ac:dyDescent="0.25">
      <c r="A12" s="32">
        <v>10</v>
      </c>
      <c r="B12" s="145">
        <v>1</v>
      </c>
      <c r="C12" s="76">
        <v>2</v>
      </c>
      <c r="D12" s="76">
        <v>3</v>
      </c>
      <c r="E12" s="76">
        <v>4</v>
      </c>
      <c r="F12" s="76">
        <v>5</v>
      </c>
      <c r="G12" s="76">
        <v>6</v>
      </c>
      <c r="H12" s="76">
        <v>7</v>
      </c>
      <c r="I12" s="76">
        <v>8</v>
      </c>
      <c r="J12" s="76">
        <v>9</v>
      </c>
      <c r="K12" s="76">
        <v>10</v>
      </c>
      <c r="L12" s="76">
        <v>11</v>
      </c>
      <c r="M12" s="76">
        <v>12</v>
      </c>
      <c r="N12" s="76">
        <v>13</v>
      </c>
      <c r="O12" s="76">
        <v>14</v>
      </c>
      <c r="P12" s="76">
        <v>15</v>
      </c>
      <c r="Q12" s="76">
        <v>16</v>
      </c>
      <c r="R12" s="76">
        <v>17</v>
      </c>
      <c r="S12" s="76">
        <v>18</v>
      </c>
      <c r="T12" s="76">
        <v>19</v>
      </c>
      <c r="U12" s="76">
        <v>20</v>
      </c>
      <c r="V12" s="76">
        <v>21</v>
      </c>
      <c r="W12" s="76">
        <v>22</v>
      </c>
      <c r="X12" s="76">
        <v>23</v>
      </c>
      <c r="Y12" s="76">
        <v>24</v>
      </c>
      <c r="Z12" s="76">
        <v>25</v>
      </c>
      <c r="AA12" s="78">
        <v>26</v>
      </c>
      <c r="AJ12">
        <v>21</v>
      </c>
      <c r="AK12">
        <v>35</v>
      </c>
      <c r="AL12" s="30">
        <v>30</v>
      </c>
      <c r="BK12" s="41" t="s">
        <v>8</v>
      </c>
      <c r="BL12" s="48">
        <v>34</v>
      </c>
      <c r="BM12" s="44">
        <f t="shared" si="2"/>
        <v>5.3999999999999992E-2</v>
      </c>
      <c r="BN12" s="44">
        <f t="shared" si="2"/>
        <v>4.7999999999999994E-2</v>
      </c>
      <c r="BO12" s="44">
        <f t="shared" si="2"/>
        <v>4.1999999999999996E-2</v>
      </c>
      <c r="BP12" s="44">
        <f t="shared" si="2"/>
        <v>3.5999999999999997E-2</v>
      </c>
      <c r="BQ12" s="44">
        <f t="shared" si="2"/>
        <v>0.03</v>
      </c>
      <c r="BR12" s="44">
        <f t="shared" si="2"/>
        <v>2.4E-2</v>
      </c>
      <c r="BS12" s="44">
        <f t="shared" si="2"/>
        <v>1.8000000000000002E-2</v>
      </c>
      <c r="BT12" s="44">
        <f t="shared" si="2"/>
        <v>1.2E-2</v>
      </c>
      <c r="BU12" s="44">
        <f t="shared" si="2"/>
        <v>6.0000000000000001E-3</v>
      </c>
      <c r="BV12" s="43">
        <v>0</v>
      </c>
      <c r="BW12" s="44">
        <f t="shared" si="0"/>
        <v>6.0000000000000001E-3</v>
      </c>
      <c r="BX12" s="44">
        <f t="shared" si="0"/>
        <v>1.2E-2</v>
      </c>
      <c r="BY12" s="44">
        <f t="shared" si="0"/>
        <v>1.8000000000000002E-2</v>
      </c>
      <c r="BZ12" s="44">
        <f t="shared" si="0"/>
        <v>2.4E-2</v>
      </c>
      <c r="CA12" s="44">
        <f t="shared" si="0"/>
        <v>0.03</v>
      </c>
      <c r="CB12" s="44">
        <f t="shared" si="0"/>
        <v>3.5999999999999997E-2</v>
      </c>
      <c r="CC12" s="44">
        <f t="shared" si="0"/>
        <v>4.1999999999999996E-2</v>
      </c>
      <c r="CD12" s="45">
        <f t="shared" si="0"/>
        <v>4.7999999999999994E-2</v>
      </c>
      <c r="CE12" s="45">
        <f t="shared" si="0"/>
        <v>5.3999999999999992E-2</v>
      </c>
      <c r="CF12" s="45">
        <f t="shared" si="3"/>
        <v>5.9999999999999991E-2</v>
      </c>
      <c r="CG12" s="44">
        <f t="shared" si="3"/>
        <v>6.5999999999999989E-2</v>
      </c>
      <c r="CH12" s="44">
        <f t="shared" si="3"/>
        <v>7.1999999999999995E-2</v>
      </c>
      <c r="CI12" s="44">
        <f t="shared" si="3"/>
        <v>7.8E-2</v>
      </c>
      <c r="CJ12" s="44">
        <f t="shared" si="3"/>
        <v>8.4000000000000005E-2</v>
      </c>
      <c r="CK12" s="44">
        <f t="shared" si="3"/>
        <v>9.0000000000000011E-2</v>
      </c>
      <c r="CL12" s="44">
        <f t="shared" si="3"/>
        <v>9.6000000000000016E-2</v>
      </c>
      <c r="CM12" s="44">
        <f t="shared" si="3"/>
        <v>0.10200000000000002</v>
      </c>
      <c r="CN12" s="47">
        <f t="shared" si="3"/>
        <v>0.10800000000000003</v>
      </c>
      <c r="CO12" s="47">
        <f>CO13</f>
        <v>0.10800000000000003</v>
      </c>
      <c r="CP12" s="44">
        <f t="shared" si="1"/>
        <v>0.10200000000000002</v>
      </c>
      <c r="CQ12" s="44">
        <f t="shared" si="1"/>
        <v>9.6000000000000016E-2</v>
      </c>
      <c r="CR12" s="44">
        <f t="shared" si="1"/>
        <v>9.0000000000000011E-2</v>
      </c>
      <c r="CS12" s="44">
        <f t="shared" si="1"/>
        <v>8.4000000000000005E-2</v>
      </c>
      <c r="CT12" s="44">
        <f t="shared" si="1"/>
        <v>7.8E-2</v>
      </c>
      <c r="CU12" s="44">
        <f t="shared" si="1"/>
        <v>7.1999999999999995E-2</v>
      </c>
      <c r="CV12" s="44">
        <f t="shared" si="1"/>
        <v>6.5999999999999989E-2</v>
      </c>
      <c r="CW12" s="44">
        <f t="shared" si="1"/>
        <v>5.9999999999999991E-2</v>
      </c>
    </row>
    <row r="13" spans="1:101" x14ac:dyDescent="0.25">
      <c r="A13" s="32">
        <v>12.5</v>
      </c>
      <c r="B13" s="146"/>
      <c r="C13" s="77">
        <v>27</v>
      </c>
      <c r="D13" s="77">
        <v>28</v>
      </c>
      <c r="E13" s="77">
        <v>29</v>
      </c>
      <c r="F13" s="77">
        <v>30</v>
      </c>
      <c r="G13" s="77">
        <v>31</v>
      </c>
      <c r="H13" s="77">
        <v>32</v>
      </c>
      <c r="I13" s="77">
        <v>33</v>
      </c>
      <c r="J13" s="77">
        <v>34</v>
      </c>
      <c r="K13" s="77">
        <v>35</v>
      </c>
      <c r="L13" s="77">
        <v>36</v>
      </c>
      <c r="M13" s="77">
        <v>37</v>
      </c>
      <c r="N13" s="77">
        <v>38</v>
      </c>
      <c r="O13" s="77">
        <v>39</v>
      </c>
      <c r="P13" s="77">
        <v>40</v>
      </c>
      <c r="Q13" s="77">
        <v>41</v>
      </c>
      <c r="R13" s="77">
        <v>42</v>
      </c>
      <c r="S13" s="77">
        <v>43</v>
      </c>
      <c r="T13" s="77">
        <v>44</v>
      </c>
      <c r="U13" s="77">
        <v>45</v>
      </c>
      <c r="V13" s="77">
        <v>46</v>
      </c>
      <c r="W13" s="77">
        <v>47</v>
      </c>
      <c r="X13" s="77">
        <v>48</v>
      </c>
      <c r="Y13" s="77">
        <v>49</v>
      </c>
      <c r="Z13" s="77">
        <v>50</v>
      </c>
      <c r="AA13" s="79">
        <v>51</v>
      </c>
      <c r="AJ13">
        <v>23</v>
      </c>
      <c r="AK13">
        <v>35</v>
      </c>
      <c r="AL13" s="30">
        <v>33</v>
      </c>
      <c r="BK13" s="41" t="s">
        <v>9</v>
      </c>
      <c r="BL13" s="49">
        <v>6</v>
      </c>
      <c r="BM13" s="44">
        <f t="shared" si="2"/>
        <v>5.9999999999999991E-2</v>
      </c>
      <c r="BN13" s="44">
        <f t="shared" si="2"/>
        <v>5.3999999999999992E-2</v>
      </c>
      <c r="BO13" s="44">
        <f t="shared" si="2"/>
        <v>4.7999999999999994E-2</v>
      </c>
      <c r="BP13" s="44">
        <f t="shared" si="2"/>
        <v>4.1999999999999996E-2</v>
      </c>
      <c r="BQ13" s="44">
        <f t="shared" si="2"/>
        <v>3.5999999999999997E-2</v>
      </c>
      <c r="BR13" s="44">
        <f t="shared" si="2"/>
        <v>0.03</v>
      </c>
      <c r="BS13" s="44">
        <f t="shared" si="2"/>
        <v>2.4E-2</v>
      </c>
      <c r="BT13" s="44">
        <f t="shared" si="2"/>
        <v>1.8000000000000002E-2</v>
      </c>
      <c r="BU13" s="44">
        <f t="shared" si="2"/>
        <v>1.2E-2</v>
      </c>
      <c r="BV13" s="44">
        <f t="shared" si="2"/>
        <v>6.0000000000000001E-3</v>
      </c>
      <c r="BW13" s="43">
        <v>0</v>
      </c>
      <c r="BX13" s="44">
        <f t="shared" si="0"/>
        <v>6.0000000000000001E-3</v>
      </c>
      <c r="BY13" s="44">
        <f t="shared" si="0"/>
        <v>1.2E-2</v>
      </c>
      <c r="BZ13" s="44">
        <f t="shared" si="0"/>
        <v>1.8000000000000002E-2</v>
      </c>
      <c r="CA13" s="44">
        <f t="shared" si="0"/>
        <v>2.4E-2</v>
      </c>
      <c r="CB13" s="44">
        <f t="shared" si="0"/>
        <v>0.03</v>
      </c>
      <c r="CC13" s="44">
        <f t="shared" si="0"/>
        <v>3.5999999999999997E-2</v>
      </c>
      <c r="CD13" s="45">
        <f t="shared" si="0"/>
        <v>4.1999999999999996E-2</v>
      </c>
      <c r="CE13" s="45">
        <f t="shared" si="0"/>
        <v>4.7999999999999994E-2</v>
      </c>
      <c r="CF13" s="45">
        <f t="shared" si="3"/>
        <v>5.3999999999999992E-2</v>
      </c>
      <c r="CG13" s="44">
        <f t="shared" si="3"/>
        <v>5.9999999999999991E-2</v>
      </c>
      <c r="CH13" s="44">
        <f t="shared" si="3"/>
        <v>6.5999999999999989E-2</v>
      </c>
      <c r="CI13" s="44">
        <f t="shared" si="3"/>
        <v>7.1999999999999995E-2</v>
      </c>
      <c r="CJ13" s="44">
        <f t="shared" si="3"/>
        <v>7.8E-2</v>
      </c>
      <c r="CK13" s="44">
        <f t="shared" si="3"/>
        <v>8.4000000000000005E-2</v>
      </c>
      <c r="CL13" s="44">
        <f t="shared" si="3"/>
        <v>9.0000000000000011E-2</v>
      </c>
      <c r="CM13" s="44">
        <f t="shared" si="3"/>
        <v>9.6000000000000016E-2</v>
      </c>
      <c r="CN13" s="44">
        <f t="shared" si="3"/>
        <v>0.10200000000000002</v>
      </c>
      <c r="CO13" s="47">
        <f t="shared" si="3"/>
        <v>0.10800000000000003</v>
      </c>
      <c r="CP13" s="47">
        <f>CP14</f>
        <v>0.10800000000000003</v>
      </c>
      <c r="CQ13" s="44">
        <f t="shared" si="1"/>
        <v>0.10200000000000002</v>
      </c>
      <c r="CR13" s="44">
        <f t="shared" si="1"/>
        <v>9.6000000000000016E-2</v>
      </c>
      <c r="CS13" s="44">
        <f t="shared" si="1"/>
        <v>9.0000000000000011E-2</v>
      </c>
      <c r="CT13" s="44">
        <f t="shared" si="1"/>
        <v>8.4000000000000005E-2</v>
      </c>
      <c r="CU13" s="44">
        <f t="shared" si="1"/>
        <v>7.8E-2</v>
      </c>
      <c r="CV13" s="44">
        <f t="shared" si="1"/>
        <v>7.1999999999999995E-2</v>
      </c>
      <c r="CW13" s="44">
        <f t="shared" si="1"/>
        <v>6.5999999999999989E-2</v>
      </c>
    </row>
    <row r="14" spans="1:101" x14ac:dyDescent="0.25">
      <c r="A14" s="32">
        <v>15</v>
      </c>
      <c r="B14" s="146"/>
      <c r="C14" s="77">
        <v>52</v>
      </c>
      <c r="D14" s="77">
        <v>53</v>
      </c>
      <c r="E14" s="77">
        <v>54</v>
      </c>
      <c r="F14" s="77">
        <v>55</v>
      </c>
      <c r="G14" s="77">
        <v>56</v>
      </c>
      <c r="H14" s="77">
        <v>57</v>
      </c>
      <c r="I14" s="77">
        <v>58</v>
      </c>
      <c r="J14" s="77">
        <v>59</v>
      </c>
      <c r="K14" s="77">
        <v>60</v>
      </c>
      <c r="L14" s="77">
        <v>61</v>
      </c>
      <c r="M14" s="77">
        <v>62</v>
      </c>
      <c r="N14" s="77">
        <v>63</v>
      </c>
      <c r="O14" s="77">
        <v>64</v>
      </c>
      <c r="P14" s="77">
        <v>65</v>
      </c>
      <c r="Q14" s="77">
        <v>66</v>
      </c>
      <c r="R14" s="77">
        <v>67</v>
      </c>
      <c r="S14" s="77">
        <v>68</v>
      </c>
      <c r="T14" s="77">
        <v>69</v>
      </c>
      <c r="U14" s="77">
        <v>70</v>
      </c>
      <c r="V14" s="77">
        <v>71</v>
      </c>
      <c r="W14" s="77">
        <v>72</v>
      </c>
      <c r="X14" s="77">
        <v>73</v>
      </c>
      <c r="Y14" s="77">
        <v>74</v>
      </c>
      <c r="Z14" s="77">
        <v>75</v>
      </c>
      <c r="AA14" s="79">
        <v>76</v>
      </c>
      <c r="AJ14">
        <v>25</v>
      </c>
      <c r="AK14">
        <v>35</v>
      </c>
      <c r="AL14" s="30">
        <v>36</v>
      </c>
      <c r="BK14" s="41" t="s">
        <v>8</v>
      </c>
      <c r="BL14" s="48">
        <v>27</v>
      </c>
      <c r="BM14" s="44">
        <f t="shared" si="2"/>
        <v>6.5999999999999989E-2</v>
      </c>
      <c r="BN14" s="44">
        <f t="shared" si="2"/>
        <v>5.9999999999999991E-2</v>
      </c>
      <c r="BO14" s="44">
        <f t="shared" si="2"/>
        <v>5.3999999999999992E-2</v>
      </c>
      <c r="BP14" s="44">
        <f t="shared" si="2"/>
        <v>4.7999999999999994E-2</v>
      </c>
      <c r="BQ14" s="44">
        <f t="shared" si="2"/>
        <v>4.1999999999999996E-2</v>
      </c>
      <c r="BR14" s="44">
        <f t="shared" si="2"/>
        <v>3.5999999999999997E-2</v>
      </c>
      <c r="BS14" s="44">
        <f t="shared" si="2"/>
        <v>0.03</v>
      </c>
      <c r="BT14" s="44">
        <f t="shared" si="2"/>
        <v>2.4E-2</v>
      </c>
      <c r="BU14" s="44">
        <f t="shared" si="2"/>
        <v>1.8000000000000002E-2</v>
      </c>
      <c r="BV14" s="44">
        <f t="shared" si="2"/>
        <v>1.2E-2</v>
      </c>
      <c r="BW14" s="44">
        <f t="shared" si="2"/>
        <v>6.0000000000000001E-3</v>
      </c>
      <c r="BX14" s="43">
        <v>0</v>
      </c>
      <c r="BY14" s="44">
        <f t="shared" si="0"/>
        <v>6.0000000000000001E-3</v>
      </c>
      <c r="BZ14" s="44">
        <f t="shared" si="0"/>
        <v>1.2E-2</v>
      </c>
      <c r="CA14" s="44">
        <f t="shared" si="0"/>
        <v>1.8000000000000002E-2</v>
      </c>
      <c r="CB14" s="44">
        <f t="shared" si="0"/>
        <v>2.4E-2</v>
      </c>
      <c r="CC14" s="44">
        <f t="shared" si="0"/>
        <v>0.03</v>
      </c>
      <c r="CD14" s="45">
        <f t="shared" si="0"/>
        <v>3.5999999999999997E-2</v>
      </c>
      <c r="CE14" s="45">
        <f t="shared" si="0"/>
        <v>4.1999999999999996E-2</v>
      </c>
      <c r="CF14" s="45">
        <f t="shared" si="3"/>
        <v>4.7999999999999994E-2</v>
      </c>
      <c r="CG14" s="44">
        <f t="shared" si="3"/>
        <v>5.3999999999999992E-2</v>
      </c>
      <c r="CH14" s="44">
        <f t="shared" si="3"/>
        <v>5.9999999999999991E-2</v>
      </c>
      <c r="CI14" s="44">
        <f t="shared" si="3"/>
        <v>6.5999999999999989E-2</v>
      </c>
      <c r="CJ14" s="44">
        <f t="shared" si="3"/>
        <v>7.1999999999999995E-2</v>
      </c>
      <c r="CK14" s="44">
        <f t="shared" si="3"/>
        <v>7.8E-2</v>
      </c>
      <c r="CL14" s="44">
        <f t="shared" si="3"/>
        <v>8.4000000000000005E-2</v>
      </c>
      <c r="CM14" s="44">
        <f t="shared" si="3"/>
        <v>9.0000000000000011E-2</v>
      </c>
      <c r="CN14" s="44">
        <f t="shared" si="3"/>
        <v>9.6000000000000016E-2</v>
      </c>
      <c r="CO14" s="44">
        <f t="shared" si="3"/>
        <v>0.10200000000000002</v>
      </c>
      <c r="CP14" s="47">
        <f t="shared" si="3"/>
        <v>0.10800000000000003</v>
      </c>
      <c r="CQ14" s="47">
        <f>CQ15</f>
        <v>0.10800000000000003</v>
      </c>
      <c r="CR14" s="44">
        <f t="shared" si="1"/>
        <v>0.10200000000000002</v>
      </c>
      <c r="CS14" s="44">
        <f t="shared" si="1"/>
        <v>9.6000000000000016E-2</v>
      </c>
      <c r="CT14" s="44">
        <f t="shared" si="1"/>
        <v>9.0000000000000011E-2</v>
      </c>
      <c r="CU14" s="44">
        <f t="shared" si="1"/>
        <v>8.4000000000000005E-2</v>
      </c>
      <c r="CV14" s="44">
        <f t="shared" si="1"/>
        <v>7.8E-2</v>
      </c>
      <c r="CW14" s="44">
        <f t="shared" si="1"/>
        <v>7.1999999999999995E-2</v>
      </c>
    </row>
    <row r="15" spans="1:101" x14ac:dyDescent="0.25">
      <c r="A15" s="32">
        <v>17.5</v>
      </c>
      <c r="B15" s="146"/>
      <c r="C15" s="77">
        <v>77</v>
      </c>
      <c r="D15" s="77">
        <v>78</v>
      </c>
      <c r="E15" s="77">
        <v>79</v>
      </c>
      <c r="F15" s="77">
        <v>80</v>
      </c>
      <c r="G15" s="77">
        <v>81</v>
      </c>
      <c r="H15" s="77">
        <v>82</v>
      </c>
      <c r="I15" s="77">
        <v>83</v>
      </c>
      <c r="J15" s="77">
        <v>84</v>
      </c>
      <c r="K15" s="77">
        <v>85</v>
      </c>
      <c r="L15" s="77">
        <v>86</v>
      </c>
      <c r="M15" s="77">
        <v>87</v>
      </c>
      <c r="N15" s="77">
        <v>88</v>
      </c>
      <c r="O15" s="77">
        <v>89</v>
      </c>
      <c r="P15" s="77">
        <v>90</v>
      </c>
      <c r="Q15" s="77">
        <v>91</v>
      </c>
      <c r="R15" s="77">
        <v>92</v>
      </c>
      <c r="S15" s="77">
        <v>93</v>
      </c>
      <c r="T15" s="77">
        <v>94</v>
      </c>
      <c r="U15" s="77">
        <v>95</v>
      </c>
      <c r="V15" s="77">
        <v>96</v>
      </c>
      <c r="W15" s="77">
        <v>97</v>
      </c>
      <c r="X15" s="77">
        <v>98</v>
      </c>
      <c r="Y15" s="77">
        <v>99</v>
      </c>
      <c r="Z15" s="77">
        <v>100</v>
      </c>
      <c r="AA15" s="79">
        <v>101</v>
      </c>
      <c r="AJ15">
        <v>53</v>
      </c>
      <c r="AK15">
        <v>35</v>
      </c>
      <c r="AL15" s="30">
        <v>2</v>
      </c>
      <c r="BK15" s="41" t="s">
        <v>9</v>
      </c>
      <c r="BL15" s="49">
        <v>13</v>
      </c>
      <c r="BM15" s="44">
        <f t="shared" si="2"/>
        <v>7.1999999999999995E-2</v>
      </c>
      <c r="BN15" s="44">
        <f t="shared" si="2"/>
        <v>6.5999999999999989E-2</v>
      </c>
      <c r="BO15" s="44">
        <f t="shared" si="2"/>
        <v>5.9999999999999991E-2</v>
      </c>
      <c r="BP15" s="44">
        <f t="shared" si="2"/>
        <v>5.3999999999999992E-2</v>
      </c>
      <c r="BQ15" s="44">
        <f t="shared" si="2"/>
        <v>4.7999999999999994E-2</v>
      </c>
      <c r="BR15" s="44">
        <f t="shared" si="2"/>
        <v>4.1999999999999996E-2</v>
      </c>
      <c r="BS15" s="44">
        <f t="shared" si="2"/>
        <v>3.5999999999999997E-2</v>
      </c>
      <c r="BT15" s="44">
        <f t="shared" si="2"/>
        <v>0.03</v>
      </c>
      <c r="BU15" s="44">
        <f t="shared" si="2"/>
        <v>2.4E-2</v>
      </c>
      <c r="BV15" s="44">
        <f t="shared" si="2"/>
        <v>1.8000000000000002E-2</v>
      </c>
      <c r="BW15" s="44">
        <f t="shared" si="2"/>
        <v>1.2E-2</v>
      </c>
      <c r="BX15" s="44">
        <f t="shared" si="2"/>
        <v>6.0000000000000001E-3</v>
      </c>
      <c r="BY15" s="43">
        <v>0</v>
      </c>
      <c r="BZ15" s="44">
        <f t="shared" si="0"/>
        <v>6.0000000000000001E-3</v>
      </c>
      <c r="CA15" s="44">
        <f t="shared" si="0"/>
        <v>1.2E-2</v>
      </c>
      <c r="CB15" s="44">
        <f t="shared" si="0"/>
        <v>1.8000000000000002E-2</v>
      </c>
      <c r="CC15" s="44">
        <f t="shared" si="0"/>
        <v>2.4E-2</v>
      </c>
      <c r="CD15" s="45">
        <f t="shared" si="0"/>
        <v>0.03</v>
      </c>
      <c r="CE15" s="45">
        <f t="shared" si="0"/>
        <v>3.5999999999999997E-2</v>
      </c>
      <c r="CF15" s="45">
        <f t="shared" si="3"/>
        <v>4.1999999999999996E-2</v>
      </c>
      <c r="CG15" s="44">
        <f t="shared" si="3"/>
        <v>4.7999999999999994E-2</v>
      </c>
      <c r="CH15" s="44">
        <f t="shared" si="3"/>
        <v>5.3999999999999992E-2</v>
      </c>
      <c r="CI15" s="44">
        <f t="shared" si="3"/>
        <v>5.9999999999999991E-2</v>
      </c>
      <c r="CJ15" s="44">
        <f t="shared" si="3"/>
        <v>6.5999999999999989E-2</v>
      </c>
      <c r="CK15" s="44">
        <f t="shared" si="3"/>
        <v>7.1999999999999995E-2</v>
      </c>
      <c r="CL15" s="44">
        <f t="shared" si="3"/>
        <v>7.8E-2</v>
      </c>
      <c r="CM15" s="44">
        <f t="shared" si="3"/>
        <v>8.4000000000000005E-2</v>
      </c>
      <c r="CN15" s="44">
        <f t="shared" si="3"/>
        <v>9.0000000000000011E-2</v>
      </c>
      <c r="CO15" s="44">
        <f t="shared" si="3"/>
        <v>9.6000000000000016E-2</v>
      </c>
      <c r="CP15" s="44">
        <f t="shared" si="3"/>
        <v>0.10200000000000002</v>
      </c>
      <c r="CQ15" s="47">
        <f t="shared" si="3"/>
        <v>0.10800000000000003</v>
      </c>
      <c r="CR15" s="47">
        <f>CR16</f>
        <v>0.10800000000000003</v>
      </c>
      <c r="CS15" s="44">
        <f>CS16-$BL$2</f>
        <v>0.10200000000000002</v>
      </c>
      <c r="CT15" s="44">
        <f>CT16-$BL$2</f>
        <v>9.6000000000000016E-2</v>
      </c>
      <c r="CU15" s="44">
        <f>CU16-$BL$2</f>
        <v>9.0000000000000011E-2</v>
      </c>
      <c r="CV15" s="44">
        <f>CV16-$BL$2</f>
        <v>8.4000000000000005E-2</v>
      </c>
      <c r="CW15" s="44">
        <f>CW16-$BL$2</f>
        <v>7.8E-2</v>
      </c>
    </row>
    <row r="16" spans="1:101" x14ac:dyDescent="0.25">
      <c r="A16" s="32">
        <v>20</v>
      </c>
      <c r="B16" s="146"/>
      <c r="C16" s="77">
        <v>102</v>
      </c>
      <c r="D16" s="77">
        <v>103</v>
      </c>
      <c r="E16" s="77">
        <v>104</v>
      </c>
      <c r="F16" s="77">
        <v>105</v>
      </c>
      <c r="G16" s="77">
        <v>106</v>
      </c>
      <c r="H16" s="77">
        <v>107</v>
      </c>
      <c r="I16" s="77">
        <v>108</v>
      </c>
      <c r="J16" s="77">
        <v>109</v>
      </c>
      <c r="K16" s="77">
        <v>110</v>
      </c>
      <c r="L16" s="77">
        <v>111</v>
      </c>
      <c r="M16" s="77">
        <v>112</v>
      </c>
      <c r="N16" s="77">
        <v>113</v>
      </c>
      <c r="O16" s="77">
        <v>114</v>
      </c>
      <c r="P16" s="77">
        <v>115</v>
      </c>
      <c r="Q16" s="77">
        <v>116</v>
      </c>
      <c r="R16" s="77">
        <v>117</v>
      </c>
      <c r="S16" s="77">
        <v>118</v>
      </c>
      <c r="T16" s="77">
        <v>119</v>
      </c>
      <c r="U16" s="77">
        <v>120</v>
      </c>
      <c r="V16" s="77">
        <v>121</v>
      </c>
      <c r="W16" s="77">
        <v>122</v>
      </c>
      <c r="X16" s="77">
        <v>123</v>
      </c>
      <c r="Y16" s="77">
        <v>124</v>
      </c>
      <c r="Z16" s="77">
        <v>125</v>
      </c>
      <c r="AA16" s="79">
        <v>126</v>
      </c>
      <c r="AJ16">
        <v>55</v>
      </c>
      <c r="AK16">
        <v>35</v>
      </c>
      <c r="AL16" s="30">
        <v>5</v>
      </c>
      <c r="BK16" s="41" t="s">
        <v>8</v>
      </c>
      <c r="BL16" s="48">
        <v>36</v>
      </c>
      <c r="BM16" s="44">
        <f t="shared" si="2"/>
        <v>7.8E-2</v>
      </c>
      <c r="BN16" s="44">
        <f t="shared" si="2"/>
        <v>7.1999999999999995E-2</v>
      </c>
      <c r="BO16" s="44">
        <f t="shared" si="2"/>
        <v>6.5999999999999989E-2</v>
      </c>
      <c r="BP16" s="44">
        <f t="shared" si="2"/>
        <v>5.9999999999999991E-2</v>
      </c>
      <c r="BQ16" s="44">
        <f t="shared" si="2"/>
        <v>5.3999999999999992E-2</v>
      </c>
      <c r="BR16" s="44">
        <f t="shared" si="2"/>
        <v>4.7999999999999994E-2</v>
      </c>
      <c r="BS16" s="44">
        <f t="shared" si="2"/>
        <v>4.1999999999999996E-2</v>
      </c>
      <c r="BT16" s="44">
        <f t="shared" si="2"/>
        <v>3.5999999999999997E-2</v>
      </c>
      <c r="BU16" s="44">
        <f t="shared" si="2"/>
        <v>0.03</v>
      </c>
      <c r="BV16" s="44">
        <f t="shared" si="2"/>
        <v>2.4E-2</v>
      </c>
      <c r="BW16" s="44">
        <f t="shared" si="2"/>
        <v>1.8000000000000002E-2</v>
      </c>
      <c r="BX16" s="44">
        <f t="shared" si="2"/>
        <v>1.2E-2</v>
      </c>
      <c r="BY16" s="44">
        <f t="shared" si="2"/>
        <v>6.0000000000000001E-3</v>
      </c>
      <c r="BZ16" s="43">
        <v>0</v>
      </c>
      <c r="CA16" s="44">
        <f t="shared" si="0"/>
        <v>6.0000000000000001E-3</v>
      </c>
      <c r="CB16" s="44">
        <f t="shared" si="0"/>
        <v>1.2E-2</v>
      </c>
      <c r="CC16" s="44">
        <f t="shared" si="0"/>
        <v>1.8000000000000002E-2</v>
      </c>
      <c r="CD16" s="45">
        <f t="shared" si="0"/>
        <v>2.4E-2</v>
      </c>
      <c r="CE16" s="45">
        <f t="shared" si="0"/>
        <v>0.03</v>
      </c>
      <c r="CF16" s="45">
        <f t="shared" si="3"/>
        <v>3.5999999999999997E-2</v>
      </c>
      <c r="CG16" s="44">
        <f t="shared" si="3"/>
        <v>4.1999999999999996E-2</v>
      </c>
      <c r="CH16" s="44">
        <f t="shared" si="3"/>
        <v>4.7999999999999994E-2</v>
      </c>
      <c r="CI16" s="44">
        <f t="shared" si="3"/>
        <v>5.3999999999999992E-2</v>
      </c>
      <c r="CJ16" s="44">
        <f t="shared" si="3"/>
        <v>5.9999999999999991E-2</v>
      </c>
      <c r="CK16" s="44">
        <f t="shared" si="3"/>
        <v>6.5999999999999989E-2</v>
      </c>
      <c r="CL16" s="44">
        <f t="shared" si="3"/>
        <v>7.1999999999999995E-2</v>
      </c>
      <c r="CM16" s="44">
        <f t="shared" si="3"/>
        <v>7.8E-2</v>
      </c>
      <c r="CN16" s="44">
        <f t="shared" si="3"/>
        <v>8.4000000000000005E-2</v>
      </c>
      <c r="CO16" s="44">
        <f t="shared" si="3"/>
        <v>9.0000000000000011E-2</v>
      </c>
      <c r="CP16" s="44">
        <f t="shared" si="3"/>
        <v>9.6000000000000016E-2</v>
      </c>
      <c r="CQ16" s="44">
        <f t="shared" si="3"/>
        <v>0.10200000000000002</v>
      </c>
      <c r="CR16" s="47">
        <f t="shared" si="3"/>
        <v>0.10800000000000003</v>
      </c>
      <c r="CS16" s="47">
        <f>CS17</f>
        <v>0.10800000000000003</v>
      </c>
      <c r="CT16" s="44">
        <f>CT17-$BL$2</f>
        <v>0.10200000000000002</v>
      </c>
      <c r="CU16" s="44">
        <f>CU17-$BL$2</f>
        <v>9.6000000000000016E-2</v>
      </c>
      <c r="CV16" s="44">
        <f>CV17-$BL$2</f>
        <v>9.0000000000000011E-2</v>
      </c>
      <c r="CW16" s="44">
        <f>CW17-$BL$2</f>
        <v>8.4000000000000005E-2</v>
      </c>
    </row>
    <row r="17" spans="1:101" x14ac:dyDescent="0.25">
      <c r="A17" s="32">
        <v>22.5</v>
      </c>
      <c r="B17" s="146"/>
      <c r="C17" s="77">
        <v>127</v>
      </c>
      <c r="D17" s="77">
        <v>128</v>
      </c>
      <c r="E17" s="77">
        <v>129</v>
      </c>
      <c r="F17" s="77">
        <v>130</v>
      </c>
      <c r="G17" s="77">
        <v>131</v>
      </c>
      <c r="H17" s="77">
        <v>132</v>
      </c>
      <c r="I17" s="77">
        <v>133</v>
      </c>
      <c r="J17" s="77">
        <v>134</v>
      </c>
      <c r="K17" s="77">
        <v>135</v>
      </c>
      <c r="L17" s="77">
        <v>136</v>
      </c>
      <c r="M17" s="77">
        <v>137</v>
      </c>
      <c r="N17" s="77">
        <v>138</v>
      </c>
      <c r="O17" s="77">
        <v>139</v>
      </c>
      <c r="P17" s="77">
        <v>140</v>
      </c>
      <c r="Q17" s="77">
        <v>141</v>
      </c>
      <c r="R17" s="77">
        <v>142</v>
      </c>
      <c r="S17" s="77">
        <v>143</v>
      </c>
      <c r="T17" s="77">
        <v>144</v>
      </c>
      <c r="U17" s="77">
        <v>145</v>
      </c>
      <c r="V17" s="77">
        <v>146</v>
      </c>
      <c r="W17" s="77">
        <v>147</v>
      </c>
      <c r="X17" s="77">
        <v>148</v>
      </c>
      <c r="Y17" s="77">
        <v>149</v>
      </c>
      <c r="Z17" s="77">
        <v>150</v>
      </c>
      <c r="AA17" s="80"/>
      <c r="AJ17">
        <v>57</v>
      </c>
      <c r="AK17">
        <v>35</v>
      </c>
      <c r="AL17" s="30">
        <v>8</v>
      </c>
      <c r="BK17" s="41" t="s">
        <v>9</v>
      </c>
      <c r="BL17" s="49">
        <v>11</v>
      </c>
      <c r="BM17" s="44">
        <f t="shared" si="2"/>
        <v>8.4000000000000005E-2</v>
      </c>
      <c r="BN17" s="44">
        <f t="shared" si="2"/>
        <v>7.8E-2</v>
      </c>
      <c r="BO17" s="44">
        <f t="shared" si="2"/>
        <v>7.1999999999999995E-2</v>
      </c>
      <c r="BP17" s="44">
        <f t="shared" si="2"/>
        <v>6.5999999999999989E-2</v>
      </c>
      <c r="BQ17" s="44">
        <f t="shared" si="2"/>
        <v>5.9999999999999991E-2</v>
      </c>
      <c r="BR17" s="44">
        <f t="shared" si="2"/>
        <v>5.3999999999999992E-2</v>
      </c>
      <c r="BS17" s="44">
        <f t="shared" si="2"/>
        <v>4.7999999999999994E-2</v>
      </c>
      <c r="BT17" s="44">
        <f t="shared" si="2"/>
        <v>4.1999999999999996E-2</v>
      </c>
      <c r="BU17" s="44">
        <f t="shared" si="2"/>
        <v>3.5999999999999997E-2</v>
      </c>
      <c r="BV17" s="44">
        <f t="shared" si="2"/>
        <v>0.03</v>
      </c>
      <c r="BW17" s="44">
        <f t="shared" si="2"/>
        <v>2.4E-2</v>
      </c>
      <c r="BX17" s="44">
        <f t="shared" si="2"/>
        <v>1.8000000000000002E-2</v>
      </c>
      <c r="BY17" s="44">
        <f t="shared" si="2"/>
        <v>1.2E-2</v>
      </c>
      <c r="BZ17" s="44">
        <f t="shared" si="2"/>
        <v>6.0000000000000001E-3</v>
      </c>
      <c r="CA17" s="43">
        <v>0</v>
      </c>
      <c r="CB17" s="44">
        <f t="shared" si="0"/>
        <v>6.0000000000000001E-3</v>
      </c>
      <c r="CC17" s="44">
        <f t="shared" si="0"/>
        <v>1.2E-2</v>
      </c>
      <c r="CD17" s="45">
        <f t="shared" si="0"/>
        <v>1.8000000000000002E-2</v>
      </c>
      <c r="CE17" s="45">
        <f t="shared" si="0"/>
        <v>2.4E-2</v>
      </c>
      <c r="CF17" s="45">
        <f t="shared" si="3"/>
        <v>0.03</v>
      </c>
      <c r="CG17" s="44">
        <f t="shared" si="3"/>
        <v>3.5999999999999997E-2</v>
      </c>
      <c r="CH17" s="44">
        <f t="shared" si="3"/>
        <v>4.1999999999999996E-2</v>
      </c>
      <c r="CI17" s="44">
        <f t="shared" si="3"/>
        <v>4.7999999999999994E-2</v>
      </c>
      <c r="CJ17" s="44">
        <f t="shared" si="3"/>
        <v>5.3999999999999992E-2</v>
      </c>
      <c r="CK17" s="44">
        <f t="shared" si="3"/>
        <v>5.9999999999999991E-2</v>
      </c>
      <c r="CL17" s="44">
        <f t="shared" si="3"/>
        <v>6.5999999999999989E-2</v>
      </c>
      <c r="CM17" s="44">
        <f t="shared" si="3"/>
        <v>7.1999999999999995E-2</v>
      </c>
      <c r="CN17" s="44">
        <f t="shared" si="3"/>
        <v>7.8E-2</v>
      </c>
      <c r="CO17" s="44">
        <f t="shared" si="3"/>
        <v>8.4000000000000005E-2</v>
      </c>
      <c r="CP17" s="44">
        <f t="shared" si="3"/>
        <v>9.0000000000000011E-2</v>
      </c>
      <c r="CQ17" s="44">
        <f t="shared" si="3"/>
        <v>9.6000000000000016E-2</v>
      </c>
      <c r="CR17" s="44">
        <f t="shared" si="3"/>
        <v>0.10200000000000002</v>
      </c>
      <c r="CS17" s="47">
        <f t="shared" si="3"/>
        <v>0.10800000000000003</v>
      </c>
      <c r="CT17" s="47">
        <f>CT18</f>
        <v>0.10800000000000003</v>
      </c>
      <c r="CU17" s="44">
        <f>CU18-$BL$2</f>
        <v>0.10200000000000002</v>
      </c>
      <c r="CV17" s="44">
        <f>CV18-$BL$2</f>
        <v>9.6000000000000016E-2</v>
      </c>
      <c r="CW17" s="44">
        <f>CW18-$BL$2</f>
        <v>9.0000000000000011E-2</v>
      </c>
    </row>
    <row r="18" spans="1:101" x14ac:dyDescent="0.25">
      <c r="A18" s="32">
        <v>25</v>
      </c>
      <c r="B18" s="82"/>
      <c r="C18" s="81"/>
      <c r="D18" s="147">
        <v>151</v>
      </c>
      <c r="E18" s="147"/>
      <c r="F18" s="147"/>
      <c r="G18" s="147"/>
      <c r="H18" s="147"/>
      <c r="I18" s="147"/>
      <c r="J18" s="147"/>
      <c r="K18" s="77">
        <v>152</v>
      </c>
      <c r="L18" s="147">
        <v>153</v>
      </c>
      <c r="M18" s="147"/>
      <c r="N18" s="147"/>
      <c r="O18" s="147"/>
      <c r="P18" s="147"/>
      <c r="Q18" s="147"/>
      <c r="R18" s="147"/>
      <c r="S18" s="77">
        <v>154</v>
      </c>
      <c r="T18" s="147">
        <v>155</v>
      </c>
      <c r="U18" s="147"/>
      <c r="V18" s="147"/>
      <c r="W18" s="147"/>
      <c r="X18" s="147"/>
      <c r="Y18" s="147"/>
      <c r="Z18" s="147"/>
      <c r="AA18" s="80"/>
      <c r="AJ18">
        <v>59</v>
      </c>
      <c r="AK18">
        <v>35</v>
      </c>
      <c r="AL18" s="30">
        <v>11</v>
      </c>
      <c r="BK18" s="41" t="s">
        <v>8</v>
      </c>
      <c r="BL18" s="48">
        <v>30</v>
      </c>
      <c r="BM18" s="44">
        <f t="shared" si="2"/>
        <v>9.0000000000000011E-2</v>
      </c>
      <c r="BN18" s="44">
        <f t="shared" si="2"/>
        <v>8.4000000000000005E-2</v>
      </c>
      <c r="BO18" s="44">
        <f t="shared" si="2"/>
        <v>7.8E-2</v>
      </c>
      <c r="BP18" s="44">
        <f t="shared" si="2"/>
        <v>7.1999999999999995E-2</v>
      </c>
      <c r="BQ18" s="44">
        <f t="shared" si="2"/>
        <v>6.5999999999999989E-2</v>
      </c>
      <c r="BR18" s="44">
        <f t="shared" si="2"/>
        <v>5.9999999999999991E-2</v>
      </c>
      <c r="BS18" s="44">
        <f t="shared" si="2"/>
        <v>5.3999999999999992E-2</v>
      </c>
      <c r="BT18" s="44">
        <f t="shared" si="2"/>
        <v>4.7999999999999994E-2</v>
      </c>
      <c r="BU18" s="44">
        <f t="shared" si="2"/>
        <v>4.1999999999999996E-2</v>
      </c>
      <c r="BV18" s="44">
        <f t="shared" si="2"/>
        <v>3.5999999999999997E-2</v>
      </c>
      <c r="BW18" s="44">
        <f t="shared" si="2"/>
        <v>0.03</v>
      </c>
      <c r="BX18" s="44">
        <f t="shared" si="2"/>
        <v>2.4E-2</v>
      </c>
      <c r="BY18" s="44">
        <f t="shared" si="2"/>
        <v>1.8000000000000002E-2</v>
      </c>
      <c r="BZ18" s="44">
        <f t="shared" si="2"/>
        <v>1.2E-2</v>
      </c>
      <c r="CA18" s="44">
        <f t="shared" si="2"/>
        <v>6.0000000000000001E-3</v>
      </c>
      <c r="CB18" s="43">
        <v>0</v>
      </c>
      <c r="CC18" s="44">
        <f t="shared" si="0"/>
        <v>6.0000000000000001E-3</v>
      </c>
      <c r="CD18" s="45">
        <f t="shared" si="0"/>
        <v>1.2E-2</v>
      </c>
      <c r="CE18" s="45">
        <f t="shared" si="0"/>
        <v>1.8000000000000002E-2</v>
      </c>
      <c r="CF18" s="45">
        <f t="shared" si="3"/>
        <v>2.4E-2</v>
      </c>
      <c r="CG18" s="44">
        <f t="shared" si="3"/>
        <v>0.03</v>
      </c>
      <c r="CH18" s="44">
        <f t="shared" si="3"/>
        <v>3.5999999999999997E-2</v>
      </c>
      <c r="CI18" s="44">
        <f t="shared" si="3"/>
        <v>4.1999999999999996E-2</v>
      </c>
      <c r="CJ18" s="44">
        <f t="shared" si="3"/>
        <v>4.7999999999999994E-2</v>
      </c>
      <c r="CK18" s="44">
        <f t="shared" si="3"/>
        <v>5.3999999999999992E-2</v>
      </c>
      <c r="CL18" s="44">
        <f t="shared" si="3"/>
        <v>5.9999999999999991E-2</v>
      </c>
      <c r="CM18" s="44">
        <f t="shared" si="3"/>
        <v>6.5999999999999989E-2</v>
      </c>
      <c r="CN18" s="44">
        <f t="shared" si="3"/>
        <v>7.1999999999999995E-2</v>
      </c>
      <c r="CO18" s="44">
        <f t="shared" si="3"/>
        <v>7.8E-2</v>
      </c>
      <c r="CP18" s="44">
        <f t="shared" si="3"/>
        <v>8.4000000000000005E-2</v>
      </c>
      <c r="CQ18" s="44">
        <f t="shared" si="3"/>
        <v>9.0000000000000011E-2</v>
      </c>
      <c r="CR18" s="44">
        <f t="shared" si="3"/>
        <v>9.6000000000000016E-2</v>
      </c>
      <c r="CS18" s="44">
        <f t="shared" si="3"/>
        <v>0.10200000000000002</v>
      </c>
      <c r="CT18" s="47">
        <f t="shared" si="3"/>
        <v>0.10800000000000003</v>
      </c>
      <c r="CU18" s="47">
        <f>CU19</f>
        <v>0.10800000000000003</v>
      </c>
      <c r="CV18" s="44">
        <f>CV19-$BL$2</f>
        <v>0.10200000000000002</v>
      </c>
      <c r="CW18" s="44">
        <f>CW19-$BL$2</f>
        <v>9.6000000000000016E-2</v>
      </c>
    </row>
    <row r="19" spans="1:101" ht="15.75" thickBot="1" x14ac:dyDescent="0.3">
      <c r="A19" s="32">
        <v>27.5</v>
      </c>
      <c r="B19" s="83"/>
      <c r="C19" s="84"/>
      <c r="D19" s="148">
        <v>156</v>
      </c>
      <c r="E19" s="148"/>
      <c r="F19" s="148"/>
      <c r="G19" s="84"/>
      <c r="H19" s="148">
        <v>157</v>
      </c>
      <c r="I19" s="148"/>
      <c r="J19" s="148"/>
      <c r="K19" s="84"/>
      <c r="L19" s="148">
        <v>158</v>
      </c>
      <c r="M19" s="148"/>
      <c r="N19" s="148"/>
      <c r="O19" s="84"/>
      <c r="P19" s="148">
        <v>159</v>
      </c>
      <c r="Q19" s="148"/>
      <c r="R19" s="148"/>
      <c r="S19" s="84"/>
      <c r="T19" s="148">
        <v>160</v>
      </c>
      <c r="U19" s="148"/>
      <c r="V19" s="148"/>
      <c r="W19" s="84"/>
      <c r="X19" s="148">
        <v>161</v>
      </c>
      <c r="Y19" s="148"/>
      <c r="Z19" s="148"/>
      <c r="AA19" s="85"/>
      <c r="AJ19">
        <v>61</v>
      </c>
      <c r="AK19">
        <v>35</v>
      </c>
      <c r="AL19" s="30">
        <v>14</v>
      </c>
      <c r="BK19" s="41" t="s">
        <v>9</v>
      </c>
      <c r="BL19" s="49">
        <v>8</v>
      </c>
      <c r="BM19" s="44">
        <f t="shared" si="2"/>
        <v>9.6000000000000016E-2</v>
      </c>
      <c r="BN19" s="44">
        <f t="shared" si="2"/>
        <v>9.0000000000000011E-2</v>
      </c>
      <c r="BO19" s="44">
        <f t="shared" si="2"/>
        <v>8.4000000000000005E-2</v>
      </c>
      <c r="BP19" s="44">
        <f t="shared" si="2"/>
        <v>7.8E-2</v>
      </c>
      <c r="BQ19" s="44">
        <f t="shared" si="2"/>
        <v>7.1999999999999995E-2</v>
      </c>
      <c r="BR19" s="44">
        <f t="shared" si="2"/>
        <v>6.5999999999999989E-2</v>
      </c>
      <c r="BS19" s="44">
        <f t="shared" si="2"/>
        <v>5.9999999999999991E-2</v>
      </c>
      <c r="BT19" s="44">
        <f t="shared" si="2"/>
        <v>5.3999999999999992E-2</v>
      </c>
      <c r="BU19" s="44">
        <f t="shared" si="2"/>
        <v>4.7999999999999994E-2</v>
      </c>
      <c r="BV19" s="44">
        <f t="shared" si="2"/>
        <v>4.1999999999999996E-2</v>
      </c>
      <c r="BW19" s="44">
        <f t="shared" si="2"/>
        <v>3.5999999999999997E-2</v>
      </c>
      <c r="BX19" s="44">
        <f t="shared" si="2"/>
        <v>0.03</v>
      </c>
      <c r="BY19" s="44">
        <f t="shared" si="2"/>
        <v>2.4E-2</v>
      </c>
      <c r="BZ19" s="44">
        <f t="shared" si="2"/>
        <v>1.8000000000000002E-2</v>
      </c>
      <c r="CA19" s="44">
        <f t="shared" si="2"/>
        <v>1.2E-2</v>
      </c>
      <c r="CB19" s="44">
        <f t="shared" si="2"/>
        <v>6.0000000000000001E-3</v>
      </c>
      <c r="CC19" s="43">
        <v>0</v>
      </c>
      <c r="CD19" s="45">
        <f t="shared" ref="CD19:CU33" si="4">CD20+$BL$2</f>
        <v>6.0000000000000001E-3</v>
      </c>
      <c r="CE19" s="45">
        <f t="shared" si="4"/>
        <v>1.2E-2</v>
      </c>
      <c r="CF19" s="45">
        <f t="shared" si="4"/>
        <v>1.8000000000000002E-2</v>
      </c>
      <c r="CG19" s="44">
        <f t="shared" si="4"/>
        <v>2.4E-2</v>
      </c>
      <c r="CH19" s="44">
        <f t="shared" si="4"/>
        <v>0.03</v>
      </c>
      <c r="CI19" s="44">
        <f t="shared" si="4"/>
        <v>3.5999999999999997E-2</v>
      </c>
      <c r="CJ19" s="44">
        <f t="shared" si="4"/>
        <v>4.1999999999999996E-2</v>
      </c>
      <c r="CK19" s="44">
        <f t="shared" si="4"/>
        <v>4.7999999999999994E-2</v>
      </c>
      <c r="CL19" s="44">
        <f t="shared" si="4"/>
        <v>5.3999999999999992E-2</v>
      </c>
      <c r="CM19" s="44">
        <f t="shared" si="4"/>
        <v>5.9999999999999991E-2</v>
      </c>
      <c r="CN19" s="44">
        <f t="shared" si="4"/>
        <v>6.5999999999999989E-2</v>
      </c>
      <c r="CO19" s="44">
        <f t="shared" si="4"/>
        <v>7.1999999999999995E-2</v>
      </c>
      <c r="CP19" s="44">
        <f t="shared" si="4"/>
        <v>7.8E-2</v>
      </c>
      <c r="CQ19" s="44">
        <f t="shared" si="4"/>
        <v>8.4000000000000005E-2</v>
      </c>
      <c r="CR19" s="44">
        <f t="shared" si="4"/>
        <v>9.0000000000000011E-2</v>
      </c>
      <c r="CS19" s="44">
        <f t="shared" si="4"/>
        <v>9.6000000000000016E-2</v>
      </c>
      <c r="CT19" s="44">
        <f t="shared" si="4"/>
        <v>0.10200000000000002</v>
      </c>
      <c r="CU19" s="47">
        <f t="shared" si="4"/>
        <v>0.10800000000000003</v>
      </c>
      <c r="CV19" s="47">
        <f>CV20</f>
        <v>0.10800000000000003</v>
      </c>
      <c r="CW19" s="44">
        <f>CW20-$BL$2</f>
        <v>0.10200000000000002</v>
      </c>
    </row>
    <row r="20" spans="1:101" x14ac:dyDescent="0.25">
      <c r="A20" s="32">
        <v>30</v>
      </c>
      <c r="AJ20">
        <v>63</v>
      </c>
      <c r="AK20">
        <v>35</v>
      </c>
      <c r="AL20" s="30">
        <v>17</v>
      </c>
      <c r="BK20" s="41" t="s">
        <v>8</v>
      </c>
      <c r="BL20" s="48">
        <v>23</v>
      </c>
      <c r="BM20" s="44">
        <f t="shared" ref="BM20:CC35" si="5">BM19+$BL$2</f>
        <v>0.10200000000000002</v>
      </c>
      <c r="BN20" s="44">
        <f t="shared" si="5"/>
        <v>9.6000000000000016E-2</v>
      </c>
      <c r="BO20" s="44">
        <f t="shared" si="5"/>
        <v>9.0000000000000011E-2</v>
      </c>
      <c r="BP20" s="44">
        <f t="shared" si="5"/>
        <v>8.4000000000000005E-2</v>
      </c>
      <c r="BQ20" s="44">
        <f t="shared" si="5"/>
        <v>7.8E-2</v>
      </c>
      <c r="BR20" s="44">
        <f t="shared" si="5"/>
        <v>7.1999999999999995E-2</v>
      </c>
      <c r="BS20" s="44">
        <f t="shared" si="5"/>
        <v>6.5999999999999989E-2</v>
      </c>
      <c r="BT20" s="44">
        <f t="shared" si="5"/>
        <v>5.9999999999999991E-2</v>
      </c>
      <c r="BU20" s="44">
        <f t="shared" si="5"/>
        <v>5.3999999999999992E-2</v>
      </c>
      <c r="BV20" s="44">
        <f t="shared" si="5"/>
        <v>4.7999999999999994E-2</v>
      </c>
      <c r="BW20" s="44">
        <f t="shared" si="5"/>
        <v>4.1999999999999996E-2</v>
      </c>
      <c r="BX20" s="44">
        <f t="shared" si="5"/>
        <v>3.5999999999999997E-2</v>
      </c>
      <c r="BY20" s="44">
        <f t="shared" si="5"/>
        <v>0.03</v>
      </c>
      <c r="BZ20" s="44">
        <f t="shared" si="5"/>
        <v>2.4E-2</v>
      </c>
      <c r="CA20" s="44">
        <f t="shared" si="5"/>
        <v>1.8000000000000002E-2</v>
      </c>
      <c r="CB20" s="44">
        <f t="shared" si="5"/>
        <v>1.2E-2</v>
      </c>
      <c r="CC20" s="44">
        <f t="shared" si="5"/>
        <v>6.0000000000000001E-3</v>
      </c>
      <c r="CD20" s="43">
        <v>0</v>
      </c>
      <c r="CE20" s="45">
        <f t="shared" si="4"/>
        <v>6.0000000000000001E-3</v>
      </c>
      <c r="CF20" s="45">
        <f t="shared" si="4"/>
        <v>1.2E-2</v>
      </c>
      <c r="CG20" s="44">
        <f t="shared" si="4"/>
        <v>1.8000000000000002E-2</v>
      </c>
      <c r="CH20" s="44">
        <f t="shared" si="4"/>
        <v>2.4E-2</v>
      </c>
      <c r="CI20" s="44">
        <f t="shared" si="4"/>
        <v>0.03</v>
      </c>
      <c r="CJ20" s="44">
        <f t="shared" si="4"/>
        <v>3.5999999999999997E-2</v>
      </c>
      <c r="CK20" s="44">
        <f t="shared" si="4"/>
        <v>4.1999999999999996E-2</v>
      </c>
      <c r="CL20" s="44">
        <f t="shared" si="4"/>
        <v>4.7999999999999994E-2</v>
      </c>
      <c r="CM20" s="44">
        <f t="shared" si="4"/>
        <v>5.3999999999999992E-2</v>
      </c>
      <c r="CN20" s="44">
        <f t="shared" si="4"/>
        <v>5.9999999999999991E-2</v>
      </c>
      <c r="CO20" s="44">
        <f t="shared" si="4"/>
        <v>6.5999999999999989E-2</v>
      </c>
      <c r="CP20" s="44">
        <f t="shared" si="4"/>
        <v>7.1999999999999995E-2</v>
      </c>
      <c r="CQ20" s="44">
        <f t="shared" si="4"/>
        <v>7.8E-2</v>
      </c>
      <c r="CR20" s="44">
        <f t="shared" si="4"/>
        <v>8.4000000000000005E-2</v>
      </c>
      <c r="CS20" s="44">
        <f t="shared" si="4"/>
        <v>9.0000000000000011E-2</v>
      </c>
      <c r="CT20" s="44">
        <f t="shared" si="4"/>
        <v>9.6000000000000016E-2</v>
      </c>
      <c r="CU20" s="44">
        <f t="shared" si="4"/>
        <v>0.10200000000000002</v>
      </c>
      <c r="CV20" s="47">
        <f t="shared" ref="CV20:CW33" si="6">CV21+$BL$2</f>
        <v>0.10800000000000003</v>
      </c>
      <c r="CW20" s="47">
        <f>CW21</f>
        <v>0.10800000000000003</v>
      </c>
    </row>
    <row r="21" spans="1:101" x14ac:dyDescent="0.25">
      <c r="A21" s="32">
        <v>32.5</v>
      </c>
      <c r="AJ21">
        <v>65</v>
      </c>
      <c r="AK21">
        <v>35</v>
      </c>
      <c r="AL21" s="30">
        <v>20</v>
      </c>
      <c r="BK21" s="41" t="s">
        <v>9</v>
      </c>
      <c r="BL21" s="49">
        <v>10</v>
      </c>
      <c r="BM21" s="47">
        <f t="shared" si="5"/>
        <v>0.10800000000000003</v>
      </c>
      <c r="BN21" s="44">
        <f t="shared" si="5"/>
        <v>0.10200000000000002</v>
      </c>
      <c r="BO21" s="44">
        <f t="shared" si="5"/>
        <v>9.6000000000000016E-2</v>
      </c>
      <c r="BP21" s="44">
        <f t="shared" si="5"/>
        <v>9.0000000000000011E-2</v>
      </c>
      <c r="BQ21" s="44">
        <f t="shared" si="5"/>
        <v>8.4000000000000005E-2</v>
      </c>
      <c r="BR21" s="44">
        <f t="shared" si="5"/>
        <v>7.8E-2</v>
      </c>
      <c r="BS21" s="44">
        <f t="shared" si="5"/>
        <v>7.1999999999999995E-2</v>
      </c>
      <c r="BT21" s="44">
        <f t="shared" si="5"/>
        <v>6.5999999999999989E-2</v>
      </c>
      <c r="BU21" s="44">
        <f t="shared" si="5"/>
        <v>5.9999999999999991E-2</v>
      </c>
      <c r="BV21" s="44">
        <f t="shared" si="5"/>
        <v>5.3999999999999992E-2</v>
      </c>
      <c r="BW21" s="44">
        <f t="shared" si="5"/>
        <v>4.7999999999999994E-2</v>
      </c>
      <c r="BX21" s="44">
        <f t="shared" si="5"/>
        <v>4.1999999999999996E-2</v>
      </c>
      <c r="BY21" s="44">
        <f t="shared" si="5"/>
        <v>3.5999999999999997E-2</v>
      </c>
      <c r="BZ21" s="44">
        <f t="shared" si="5"/>
        <v>0.03</v>
      </c>
      <c r="CA21" s="44">
        <f t="shared" si="5"/>
        <v>2.4E-2</v>
      </c>
      <c r="CB21" s="44">
        <f t="shared" si="5"/>
        <v>1.8000000000000002E-2</v>
      </c>
      <c r="CC21" s="44">
        <f t="shared" si="5"/>
        <v>1.2E-2</v>
      </c>
      <c r="CD21" s="45">
        <f t="shared" ref="CD21:CQ36" si="7">CD20+$BL$2</f>
        <v>6.0000000000000001E-3</v>
      </c>
      <c r="CE21" s="50">
        <v>0</v>
      </c>
      <c r="CF21" s="45">
        <f t="shared" si="4"/>
        <v>6.0000000000000001E-3</v>
      </c>
      <c r="CG21" s="44">
        <f t="shared" si="4"/>
        <v>1.2E-2</v>
      </c>
      <c r="CH21" s="44">
        <f t="shared" si="4"/>
        <v>1.8000000000000002E-2</v>
      </c>
      <c r="CI21" s="44">
        <f t="shared" si="4"/>
        <v>2.4E-2</v>
      </c>
      <c r="CJ21" s="44">
        <f t="shared" si="4"/>
        <v>0.03</v>
      </c>
      <c r="CK21" s="44">
        <f t="shared" si="4"/>
        <v>3.5999999999999997E-2</v>
      </c>
      <c r="CL21" s="44">
        <f t="shared" si="4"/>
        <v>4.1999999999999996E-2</v>
      </c>
      <c r="CM21" s="44">
        <f t="shared" si="4"/>
        <v>4.7999999999999994E-2</v>
      </c>
      <c r="CN21" s="44">
        <f t="shared" si="4"/>
        <v>5.3999999999999992E-2</v>
      </c>
      <c r="CO21" s="44">
        <f t="shared" si="4"/>
        <v>5.9999999999999991E-2</v>
      </c>
      <c r="CP21" s="44">
        <f t="shared" si="4"/>
        <v>6.5999999999999989E-2</v>
      </c>
      <c r="CQ21" s="44">
        <f t="shared" si="4"/>
        <v>7.1999999999999995E-2</v>
      </c>
      <c r="CR21" s="44">
        <f t="shared" si="4"/>
        <v>7.8E-2</v>
      </c>
      <c r="CS21" s="44">
        <f t="shared" si="4"/>
        <v>8.4000000000000005E-2</v>
      </c>
      <c r="CT21" s="44">
        <f t="shared" si="4"/>
        <v>9.0000000000000011E-2</v>
      </c>
      <c r="CU21" s="44">
        <f t="shared" si="4"/>
        <v>9.6000000000000016E-2</v>
      </c>
      <c r="CV21" s="44">
        <f t="shared" si="6"/>
        <v>0.10200000000000002</v>
      </c>
      <c r="CW21" s="47">
        <f t="shared" si="6"/>
        <v>0.10800000000000003</v>
      </c>
    </row>
    <row r="22" spans="1:101" x14ac:dyDescent="0.25">
      <c r="A22" s="32">
        <v>35</v>
      </c>
      <c r="AJ22">
        <v>67</v>
      </c>
      <c r="AK22">
        <v>35</v>
      </c>
      <c r="AL22" s="30">
        <v>23</v>
      </c>
      <c r="BK22" s="41" t="s">
        <v>8</v>
      </c>
      <c r="BL22" s="48">
        <v>5</v>
      </c>
      <c r="BM22" s="47">
        <f>BM21</f>
        <v>0.10800000000000003</v>
      </c>
      <c r="BN22" s="47">
        <f t="shared" si="5"/>
        <v>0.10800000000000003</v>
      </c>
      <c r="BO22" s="44">
        <f t="shared" si="5"/>
        <v>0.10200000000000002</v>
      </c>
      <c r="BP22" s="44">
        <f t="shared" si="5"/>
        <v>9.6000000000000016E-2</v>
      </c>
      <c r="BQ22" s="44">
        <f t="shared" si="5"/>
        <v>9.0000000000000011E-2</v>
      </c>
      <c r="BR22" s="44">
        <f t="shared" si="5"/>
        <v>8.4000000000000005E-2</v>
      </c>
      <c r="BS22" s="44">
        <f t="shared" si="5"/>
        <v>7.8E-2</v>
      </c>
      <c r="BT22" s="44">
        <f t="shared" si="5"/>
        <v>7.1999999999999995E-2</v>
      </c>
      <c r="BU22" s="44">
        <f t="shared" si="5"/>
        <v>6.5999999999999989E-2</v>
      </c>
      <c r="BV22" s="44">
        <f t="shared" si="5"/>
        <v>5.9999999999999991E-2</v>
      </c>
      <c r="BW22" s="44">
        <f t="shared" si="5"/>
        <v>5.3999999999999992E-2</v>
      </c>
      <c r="BX22" s="44">
        <f t="shared" si="5"/>
        <v>4.7999999999999994E-2</v>
      </c>
      <c r="BY22" s="44">
        <f t="shared" si="5"/>
        <v>4.1999999999999996E-2</v>
      </c>
      <c r="BZ22" s="44">
        <f t="shared" si="5"/>
        <v>3.5999999999999997E-2</v>
      </c>
      <c r="CA22" s="44">
        <f t="shared" si="5"/>
        <v>0.03</v>
      </c>
      <c r="CB22" s="44">
        <f t="shared" si="5"/>
        <v>2.4E-2</v>
      </c>
      <c r="CC22" s="44">
        <f t="shared" si="5"/>
        <v>1.8000000000000002E-2</v>
      </c>
      <c r="CD22" s="45">
        <f t="shared" si="7"/>
        <v>1.2E-2</v>
      </c>
      <c r="CE22" s="45">
        <f t="shared" si="7"/>
        <v>6.0000000000000001E-3</v>
      </c>
      <c r="CF22" s="43">
        <v>0</v>
      </c>
      <c r="CG22" s="44">
        <f t="shared" si="4"/>
        <v>6.0000000000000001E-3</v>
      </c>
      <c r="CH22" s="44">
        <f t="shared" si="4"/>
        <v>1.2E-2</v>
      </c>
      <c r="CI22" s="44">
        <f t="shared" si="4"/>
        <v>1.8000000000000002E-2</v>
      </c>
      <c r="CJ22" s="44">
        <f t="shared" si="4"/>
        <v>2.4E-2</v>
      </c>
      <c r="CK22" s="44">
        <f t="shared" si="4"/>
        <v>0.03</v>
      </c>
      <c r="CL22" s="44">
        <f t="shared" si="4"/>
        <v>3.5999999999999997E-2</v>
      </c>
      <c r="CM22" s="44">
        <f t="shared" si="4"/>
        <v>4.1999999999999996E-2</v>
      </c>
      <c r="CN22" s="44">
        <f t="shared" si="4"/>
        <v>4.7999999999999994E-2</v>
      </c>
      <c r="CO22" s="44">
        <f t="shared" si="4"/>
        <v>5.3999999999999992E-2</v>
      </c>
      <c r="CP22" s="44">
        <f t="shared" si="4"/>
        <v>5.9999999999999991E-2</v>
      </c>
      <c r="CQ22" s="44">
        <f t="shared" si="4"/>
        <v>6.5999999999999989E-2</v>
      </c>
      <c r="CR22" s="44">
        <f t="shared" si="4"/>
        <v>7.1999999999999995E-2</v>
      </c>
      <c r="CS22" s="44">
        <f t="shared" si="4"/>
        <v>7.8E-2</v>
      </c>
      <c r="CT22" s="44">
        <f t="shared" si="4"/>
        <v>8.4000000000000005E-2</v>
      </c>
      <c r="CU22" s="44">
        <f t="shared" si="4"/>
        <v>9.0000000000000011E-2</v>
      </c>
      <c r="CV22" s="44">
        <f t="shared" si="6"/>
        <v>9.6000000000000016E-2</v>
      </c>
      <c r="CW22" s="44">
        <f t="shared" si="6"/>
        <v>0.10200000000000002</v>
      </c>
    </row>
    <row r="23" spans="1:101" x14ac:dyDescent="0.25">
      <c r="A23" s="32">
        <v>37.5</v>
      </c>
      <c r="AJ23">
        <v>69</v>
      </c>
      <c r="AK23">
        <v>35</v>
      </c>
      <c r="AL23" s="30">
        <v>26</v>
      </c>
      <c r="BK23" s="41" t="s">
        <v>9</v>
      </c>
      <c r="BL23" s="49">
        <v>24</v>
      </c>
      <c r="BM23" s="44">
        <f t="shared" ref="BM23:BX38" si="8">BM22-$BL$2</f>
        <v>0.10200000000000002</v>
      </c>
      <c r="BN23" s="47">
        <f>BN22</f>
        <v>0.10800000000000003</v>
      </c>
      <c r="BO23" s="47">
        <f t="shared" si="5"/>
        <v>0.10800000000000003</v>
      </c>
      <c r="BP23" s="44">
        <f t="shared" si="5"/>
        <v>0.10200000000000002</v>
      </c>
      <c r="BQ23" s="44">
        <f t="shared" si="5"/>
        <v>9.6000000000000016E-2</v>
      </c>
      <c r="BR23" s="44">
        <f t="shared" si="5"/>
        <v>9.0000000000000011E-2</v>
      </c>
      <c r="BS23" s="44">
        <f t="shared" si="5"/>
        <v>8.4000000000000005E-2</v>
      </c>
      <c r="BT23" s="44">
        <f t="shared" si="5"/>
        <v>7.8E-2</v>
      </c>
      <c r="BU23" s="44">
        <f t="shared" si="5"/>
        <v>7.1999999999999995E-2</v>
      </c>
      <c r="BV23" s="44">
        <f t="shared" si="5"/>
        <v>6.5999999999999989E-2</v>
      </c>
      <c r="BW23" s="44">
        <f t="shared" si="5"/>
        <v>5.9999999999999991E-2</v>
      </c>
      <c r="BX23" s="44">
        <f t="shared" si="5"/>
        <v>5.3999999999999992E-2</v>
      </c>
      <c r="BY23" s="44">
        <f t="shared" si="5"/>
        <v>4.7999999999999994E-2</v>
      </c>
      <c r="BZ23" s="44">
        <f t="shared" si="5"/>
        <v>4.1999999999999996E-2</v>
      </c>
      <c r="CA23" s="44">
        <f t="shared" si="5"/>
        <v>3.5999999999999997E-2</v>
      </c>
      <c r="CB23" s="44">
        <f t="shared" si="5"/>
        <v>0.03</v>
      </c>
      <c r="CC23" s="44">
        <f t="shared" si="5"/>
        <v>2.4E-2</v>
      </c>
      <c r="CD23" s="45">
        <f t="shared" si="7"/>
        <v>1.8000000000000002E-2</v>
      </c>
      <c r="CE23" s="45">
        <f t="shared" si="7"/>
        <v>1.2E-2</v>
      </c>
      <c r="CF23" s="45">
        <f t="shared" si="7"/>
        <v>6.0000000000000001E-3</v>
      </c>
      <c r="CG23" s="43">
        <v>0</v>
      </c>
      <c r="CH23" s="44">
        <f t="shared" si="4"/>
        <v>6.0000000000000001E-3</v>
      </c>
      <c r="CI23" s="44">
        <f t="shared" si="4"/>
        <v>1.2E-2</v>
      </c>
      <c r="CJ23" s="44">
        <f t="shared" si="4"/>
        <v>1.8000000000000002E-2</v>
      </c>
      <c r="CK23" s="44">
        <f t="shared" si="4"/>
        <v>2.4E-2</v>
      </c>
      <c r="CL23" s="44">
        <f t="shared" si="4"/>
        <v>0.03</v>
      </c>
      <c r="CM23" s="44">
        <f t="shared" si="4"/>
        <v>3.5999999999999997E-2</v>
      </c>
      <c r="CN23" s="44">
        <f t="shared" si="4"/>
        <v>4.1999999999999996E-2</v>
      </c>
      <c r="CO23" s="44">
        <f t="shared" si="4"/>
        <v>4.7999999999999994E-2</v>
      </c>
      <c r="CP23" s="44">
        <f t="shared" si="4"/>
        <v>5.3999999999999992E-2</v>
      </c>
      <c r="CQ23" s="44">
        <f t="shared" si="4"/>
        <v>5.9999999999999991E-2</v>
      </c>
      <c r="CR23" s="44">
        <f t="shared" si="4"/>
        <v>6.5999999999999989E-2</v>
      </c>
      <c r="CS23" s="44">
        <f t="shared" si="4"/>
        <v>7.1999999999999995E-2</v>
      </c>
      <c r="CT23" s="44">
        <f t="shared" si="4"/>
        <v>7.8E-2</v>
      </c>
      <c r="CU23" s="44">
        <f t="shared" si="4"/>
        <v>8.4000000000000005E-2</v>
      </c>
      <c r="CV23" s="44">
        <f t="shared" si="6"/>
        <v>9.0000000000000011E-2</v>
      </c>
      <c r="CW23" s="44">
        <f t="shared" si="6"/>
        <v>9.6000000000000016E-2</v>
      </c>
    </row>
    <row r="24" spans="1:101" x14ac:dyDescent="0.25">
      <c r="A24" s="32">
        <v>40</v>
      </c>
      <c r="AJ24">
        <v>71</v>
      </c>
      <c r="AK24">
        <v>35</v>
      </c>
      <c r="AL24" s="30">
        <v>29</v>
      </c>
      <c r="BK24" s="41" t="s">
        <v>8</v>
      </c>
      <c r="BL24" s="48">
        <v>16</v>
      </c>
      <c r="BM24" s="44">
        <f t="shared" si="8"/>
        <v>9.6000000000000016E-2</v>
      </c>
      <c r="BN24" s="44">
        <f t="shared" si="8"/>
        <v>0.10200000000000002</v>
      </c>
      <c r="BO24" s="47">
        <f>BO23</f>
        <v>0.10800000000000003</v>
      </c>
      <c r="BP24" s="47">
        <f t="shared" si="5"/>
        <v>0.10800000000000003</v>
      </c>
      <c r="BQ24" s="44">
        <f t="shared" si="5"/>
        <v>0.10200000000000002</v>
      </c>
      <c r="BR24" s="44">
        <f t="shared" si="5"/>
        <v>9.6000000000000016E-2</v>
      </c>
      <c r="BS24" s="44">
        <f t="shared" si="5"/>
        <v>9.0000000000000011E-2</v>
      </c>
      <c r="BT24" s="44">
        <f t="shared" si="5"/>
        <v>8.4000000000000005E-2</v>
      </c>
      <c r="BU24" s="44">
        <f t="shared" si="5"/>
        <v>7.8E-2</v>
      </c>
      <c r="BV24" s="44">
        <f t="shared" si="5"/>
        <v>7.1999999999999995E-2</v>
      </c>
      <c r="BW24" s="44">
        <f t="shared" si="5"/>
        <v>6.5999999999999989E-2</v>
      </c>
      <c r="BX24" s="44">
        <f t="shared" si="5"/>
        <v>5.9999999999999991E-2</v>
      </c>
      <c r="BY24" s="44">
        <f t="shared" si="5"/>
        <v>5.3999999999999992E-2</v>
      </c>
      <c r="BZ24" s="44">
        <f t="shared" si="5"/>
        <v>4.7999999999999994E-2</v>
      </c>
      <c r="CA24" s="44">
        <f t="shared" si="5"/>
        <v>4.1999999999999996E-2</v>
      </c>
      <c r="CB24" s="44">
        <f t="shared" si="5"/>
        <v>3.5999999999999997E-2</v>
      </c>
      <c r="CC24" s="44">
        <f t="shared" si="5"/>
        <v>0.03</v>
      </c>
      <c r="CD24" s="45">
        <f t="shared" si="7"/>
        <v>2.4E-2</v>
      </c>
      <c r="CE24" s="45">
        <f t="shared" si="7"/>
        <v>1.8000000000000002E-2</v>
      </c>
      <c r="CF24" s="45">
        <f t="shared" si="7"/>
        <v>1.2E-2</v>
      </c>
      <c r="CG24" s="44">
        <f t="shared" si="7"/>
        <v>6.0000000000000001E-3</v>
      </c>
      <c r="CH24" s="43">
        <v>0</v>
      </c>
      <c r="CI24" s="44">
        <f t="shared" si="4"/>
        <v>6.0000000000000001E-3</v>
      </c>
      <c r="CJ24" s="44">
        <f t="shared" si="4"/>
        <v>1.2E-2</v>
      </c>
      <c r="CK24" s="44">
        <f t="shared" si="4"/>
        <v>1.8000000000000002E-2</v>
      </c>
      <c r="CL24" s="44">
        <f t="shared" si="4"/>
        <v>2.4E-2</v>
      </c>
      <c r="CM24" s="44">
        <f t="shared" si="4"/>
        <v>0.03</v>
      </c>
      <c r="CN24" s="44">
        <f t="shared" si="4"/>
        <v>3.5999999999999997E-2</v>
      </c>
      <c r="CO24" s="44">
        <f t="shared" si="4"/>
        <v>4.1999999999999996E-2</v>
      </c>
      <c r="CP24" s="44">
        <f t="shared" si="4"/>
        <v>4.7999999999999994E-2</v>
      </c>
      <c r="CQ24" s="44">
        <f t="shared" si="4"/>
        <v>5.3999999999999992E-2</v>
      </c>
      <c r="CR24" s="44">
        <f t="shared" si="4"/>
        <v>5.9999999999999991E-2</v>
      </c>
      <c r="CS24" s="44">
        <f t="shared" si="4"/>
        <v>6.5999999999999989E-2</v>
      </c>
      <c r="CT24" s="44">
        <f t="shared" si="4"/>
        <v>7.1999999999999995E-2</v>
      </c>
      <c r="CU24" s="44">
        <f t="shared" si="4"/>
        <v>7.8E-2</v>
      </c>
      <c r="CV24" s="44">
        <f t="shared" si="6"/>
        <v>8.4000000000000005E-2</v>
      </c>
      <c r="CW24" s="44">
        <f t="shared" si="6"/>
        <v>9.0000000000000011E-2</v>
      </c>
    </row>
    <row r="25" spans="1:101" x14ac:dyDescent="0.25">
      <c r="A25" s="32">
        <v>42.5</v>
      </c>
      <c r="AJ25">
        <v>73</v>
      </c>
      <c r="AK25">
        <v>35</v>
      </c>
      <c r="AL25" s="30">
        <v>32</v>
      </c>
      <c r="BK25" s="41" t="s">
        <v>9</v>
      </c>
      <c r="BL25" s="49">
        <v>33</v>
      </c>
      <c r="BM25" s="44">
        <f t="shared" si="8"/>
        <v>9.0000000000000011E-2</v>
      </c>
      <c r="BN25" s="44">
        <f t="shared" si="8"/>
        <v>9.6000000000000016E-2</v>
      </c>
      <c r="BO25" s="44">
        <f t="shared" si="8"/>
        <v>0.10200000000000002</v>
      </c>
      <c r="BP25" s="47">
        <f>BP24</f>
        <v>0.10800000000000003</v>
      </c>
      <c r="BQ25" s="47">
        <f t="shared" si="5"/>
        <v>0.10800000000000003</v>
      </c>
      <c r="BR25" s="44">
        <f t="shared" si="5"/>
        <v>0.10200000000000002</v>
      </c>
      <c r="BS25" s="44">
        <f t="shared" si="5"/>
        <v>9.6000000000000016E-2</v>
      </c>
      <c r="BT25" s="44">
        <f t="shared" si="5"/>
        <v>9.0000000000000011E-2</v>
      </c>
      <c r="BU25" s="44">
        <f t="shared" si="5"/>
        <v>8.4000000000000005E-2</v>
      </c>
      <c r="BV25" s="44">
        <f t="shared" si="5"/>
        <v>7.8E-2</v>
      </c>
      <c r="BW25" s="44">
        <f t="shared" si="5"/>
        <v>7.1999999999999995E-2</v>
      </c>
      <c r="BX25" s="44">
        <f t="shared" si="5"/>
        <v>6.5999999999999989E-2</v>
      </c>
      <c r="BY25" s="44">
        <f t="shared" si="5"/>
        <v>5.9999999999999991E-2</v>
      </c>
      <c r="BZ25" s="44">
        <f t="shared" si="5"/>
        <v>5.3999999999999992E-2</v>
      </c>
      <c r="CA25" s="44">
        <f t="shared" si="5"/>
        <v>4.7999999999999994E-2</v>
      </c>
      <c r="CB25" s="44">
        <f t="shared" si="5"/>
        <v>4.1999999999999996E-2</v>
      </c>
      <c r="CC25" s="44">
        <f t="shared" si="5"/>
        <v>3.5999999999999997E-2</v>
      </c>
      <c r="CD25" s="45">
        <f t="shared" si="7"/>
        <v>0.03</v>
      </c>
      <c r="CE25" s="45">
        <f t="shared" si="7"/>
        <v>2.4E-2</v>
      </c>
      <c r="CF25" s="45">
        <f t="shared" si="7"/>
        <v>1.8000000000000002E-2</v>
      </c>
      <c r="CG25" s="44">
        <f t="shared" si="7"/>
        <v>1.2E-2</v>
      </c>
      <c r="CH25" s="44">
        <f t="shared" si="7"/>
        <v>6.0000000000000001E-3</v>
      </c>
      <c r="CI25" s="43">
        <v>0</v>
      </c>
      <c r="CJ25" s="44">
        <f t="shared" si="4"/>
        <v>6.0000000000000001E-3</v>
      </c>
      <c r="CK25" s="44">
        <f t="shared" si="4"/>
        <v>1.2E-2</v>
      </c>
      <c r="CL25" s="44">
        <f t="shared" si="4"/>
        <v>1.8000000000000002E-2</v>
      </c>
      <c r="CM25" s="44">
        <f t="shared" si="4"/>
        <v>2.4E-2</v>
      </c>
      <c r="CN25" s="44">
        <f t="shared" si="4"/>
        <v>0.03</v>
      </c>
      <c r="CO25" s="44">
        <f t="shared" si="4"/>
        <v>3.5999999999999997E-2</v>
      </c>
      <c r="CP25" s="44">
        <f t="shared" si="4"/>
        <v>4.1999999999999996E-2</v>
      </c>
      <c r="CQ25" s="44">
        <f t="shared" si="4"/>
        <v>4.7999999999999994E-2</v>
      </c>
      <c r="CR25" s="44">
        <f t="shared" si="4"/>
        <v>5.3999999999999992E-2</v>
      </c>
      <c r="CS25" s="44">
        <f t="shared" si="4"/>
        <v>5.9999999999999991E-2</v>
      </c>
      <c r="CT25" s="44">
        <f t="shared" si="4"/>
        <v>6.5999999999999989E-2</v>
      </c>
      <c r="CU25" s="44">
        <f t="shared" si="4"/>
        <v>7.1999999999999995E-2</v>
      </c>
      <c r="CV25" s="44">
        <f t="shared" si="6"/>
        <v>7.8E-2</v>
      </c>
      <c r="CW25" s="44">
        <f t="shared" si="6"/>
        <v>8.4000000000000005E-2</v>
      </c>
    </row>
    <row r="26" spans="1:101" x14ac:dyDescent="0.25">
      <c r="A26" s="32">
        <v>45</v>
      </c>
      <c r="B26" t="s">
        <v>32</v>
      </c>
      <c r="AJ26">
        <v>75</v>
      </c>
      <c r="AK26">
        <v>35</v>
      </c>
      <c r="AL26" s="30">
        <v>35</v>
      </c>
      <c r="BK26" s="41" t="s">
        <v>8</v>
      </c>
      <c r="BL26" s="48">
        <v>1</v>
      </c>
      <c r="BM26" s="44">
        <f t="shared" si="8"/>
        <v>8.4000000000000005E-2</v>
      </c>
      <c r="BN26" s="44">
        <f t="shared" si="8"/>
        <v>9.0000000000000011E-2</v>
      </c>
      <c r="BO26" s="44">
        <f t="shared" si="8"/>
        <v>9.6000000000000016E-2</v>
      </c>
      <c r="BP26" s="44">
        <f t="shared" si="8"/>
        <v>0.10200000000000002</v>
      </c>
      <c r="BQ26" s="47">
        <f>BQ25</f>
        <v>0.10800000000000003</v>
      </c>
      <c r="BR26" s="47">
        <f t="shared" si="5"/>
        <v>0.10800000000000003</v>
      </c>
      <c r="BS26" s="44">
        <f t="shared" si="5"/>
        <v>0.10200000000000002</v>
      </c>
      <c r="BT26" s="44">
        <f t="shared" si="5"/>
        <v>9.6000000000000016E-2</v>
      </c>
      <c r="BU26" s="44">
        <f t="shared" si="5"/>
        <v>9.0000000000000011E-2</v>
      </c>
      <c r="BV26" s="44">
        <f t="shared" si="5"/>
        <v>8.4000000000000005E-2</v>
      </c>
      <c r="BW26" s="44">
        <f t="shared" si="5"/>
        <v>7.8E-2</v>
      </c>
      <c r="BX26" s="44">
        <f t="shared" si="5"/>
        <v>7.1999999999999995E-2</v>
      </c>
      <c r="BY26" s="44">
        <f t="shared" si="5"/>
        <v>6.5999999999999989E-2</v>
      </c>
      <c r="BZ26" s="44">
        <f t="shared" si="5"/>
        <v>5.9999999999999991E-2</v>
      </c>
      <c r="CA26" s="44">
        <f t="shared" si="5"/>
        <v>5.3999999999999992E-2</v>
      </c>
      <c r="CB26" s="44">
        <f t="shared" si="5"/>
        <v>4.7999999999999994E-2</v>
      </c>
      <c r="CC26" s="44">
        <f t="shared" si="5"/>
        <v>4.1999999999999996E-2</v>
      </c>
      <c r="CD26" s="45">
        <f t="shared" si="7"/>
        <v>3.5999999999999997E-2</v>
      </c>
      <c r="CE26" s="45">
        <f t="shared" si="7"/>
        <v>0.03</v>
      </c>
      <c r="CF26" s="45">
        <f t="shared" si="7"/>
        <v>2.4E-2</v>
      </c>
      <c r="CG26" s="44">
        <f t="shared" si="7"/>
        <v>1.8000000000000002E-2</v>
      </c>
      <c r="CH26" s="44">
        <f t="shared" si="7"/>
        <v>1.2E-2</v>
      </c>
      <c r="CI26" s="44">
        <f t="shared" si="7"/>
        <v>6.0000000000000001E-3</v>
      </c>
      <c r="CJ26" s="43">
        <v>0</v>
      </c>
      <c r="CK26" s="44">
        <f t="shared" si="4"/>
        <v>6.0000000000000001E-3</v>
      </c>
      <c r="CL26" s="44">
        <f t="shared" si="4"/>
        <v>1.2E-2</v>
      </c>
      <c r="CM26" s="44">
        <f t="shared" si="4"/>
        <v>1.8000000000000002E-2</v>
      </c>
      <c r="CN26" s="44">
        <f t="shared" si="4"/>
        <v>2.4E-2</v>
      </c>
      <c r="CO26" s="44">
        <f t="shared" si="4"/>
        <v>0.03</v>
      </c>
      <c r="CP26" s="44">
        <f t="shared" si="4"/>
        <v>3.5999999999999997E-2</v>
      </c>
      <c r="CQ26" s="44">
        <f t="shared" si="4"/>
        <v>4.1999999999999996E-2</v>
      </c>
      <c r="CR26" s="44">
        <f t="shared" si="4"/>
        <v>4.7999999999999994E-2</v>
      </c>
      <c r="CS26" s="44">
        <f t="shared" si="4"/>
        <v>5.3999999999999992E-2</v>
      </c>
      <c r="CT26" s="44">
        <f t="shared" si="4"/>
        <v>5.9999999999999991E-2</v>
      </c>
      <c r="CU26" s="44">
        <f t="shared" si="4"/>
        <v>6.5999999999999989E-2</v>
      </c>
      <c r="CV26" s="44">
        <f t="shared" si="6"/>
        <v>7.1999999999999995E-2</v>
      </c>
      <c r="CW26" s="44">
        <f t="shared" si="6"/>
        <v>7.8E-2</v>
      </c>
    </row>
    <row r="27" spans="1:101" x14ac:dyDescent="0.25">
      <c r="A27" s="32">
        <v>47.5</v>
      </c>
      <c r="AJ27">
        <v>103</v>
      </c>
      <c r="AK27">
        <v>35</v>
      </c>
      <c r="AL27" s="30">
        <v>1</v>
      </c>
      <c r="BK27" s="41" t="s">
        <v>9</v>
      </c>
      <c r="BL27" s="49">
        <v>20</v>
      </c>
      <c r="BM27" s="44">
        <f t="shared" si="8"/>
        <v>7.8E-2</v>
      </c>
      <c r="BN27" s="44">
        <f t="shared" si="8"/>
        <v>8.4000000000000005E-2</v>
      </c>
      <c r="BO27" s="44">
        <f t="shared" si="8"/>
        <v>9.0000000000000011E-2</v>
      </c>
      <c r="BP27" s="44">
        <f t="shared" si="8"/>
        <v>9.6000000000000016E-2</v>
      </c>
      <c r="BQ27" s="44">
        <f t="shared" si="8"/>
        <v>0.10200000000000002</v>
      </c>
      <c r="BR27" s="47">
        <f>BR26</f>
        <v>0.10800000000000003</v>
      </c>
      <c r="BS27" s="47">
        <f t="shared" si="5"/>
        <v>0.10800000000000003</v>
      </c>
      <c r="BT27" s="44">
        <f t="shared" si="5"/>
        <v>0.10200000000000002</v>
      </c>
      <c r="BU27" s="44">
        <f t="shared" si="5"/>
        <v>9.6000000000000016E-2</v>
      </c>
      <c r="BV27" s="44">
        <f t="shared" si="5"/>
        <v>9.0000000000000011E-2</v>
      </c>
      <c r="BW27" s="44">
        <f t="shared" si="5"/>
        <v>8.4000000000000005E-2</v>
      </c>
      <c r="BX27" s="44">
        <f t="shared" si="5"/>
        <v>7.8E-2</v>
      </c>
      <c r="BY27" s="44">
        <f t="shared" si="5"/>
        <v>7.1999999999999995E-2</v>
      </c>
      <c r="BZ27" s="44">
        <f t="shared" si="5"/>
        <v>6.5999999999999989E-2</v>
      </c>
      <c r="CA27" s="44">
        <f t="shared" si="5"/>
        <v>5.9999999999999991E-2</v>
      </c>
      <c r="CB27" s="44">
        <f t="shared" si="5"/>
        <v>5.3999999999999992E-2</v>
      </c>
      <c r="CC27" s="44">
        <f t="shared" si="5"/>
        <v>4.7999999999999994E-2</v>
      </c>
      <c r="CD27" s="45">
        <f t="shared" si="7"/>
        <v>4.1999999999999996E-2</v>
      </c>
      <c r="CE27" s="45">
        <f t="shared" si="7"/>
        <v>3.5999999999999997E-2</v>
      </c>
      <c r="CF27" s="45">
        <f t="shared" si="7"/>
        <v>0.03</v>
      </c>
      <c r="CG27" s="44">
        <f t="shared" si="7"/>
        <v>2.4E-2</v>
      </c>
      <c r="CH27" s="44">
        <f t="shared" si="7"/>
        <v>1.8000000000000002E-2</v>
      </c>
      <c r="CI27" s="44">
        <f t="shared" si="7"/>
        <v>1.2E-2</v>
      </c>
      <c r="CJ27" s="44">
        <f t="shared" si="7"/>
        <v>6.0000000000000001E-3</v>
      </c>
      <c r="CK27" s="43">
        <v>0</v>
      </c>
      <c r="CL27" s="44">
        <f t="shared" si="4"/>
        <v>6.0000000000000001E-3</v>
      </c>
      <c r="CM27" s="44">
        <f t="shared" si="4"/>
        <v>1.2E-2</v>
      </c>
      <c r="CN27" s="44">
        <f t="shared" si="4"/>
        <v>1.8000000000000002E-2</v>
      </c>
      <c r="CO27" s="44">
        <f t="shared" si="4"/>
        <v>2.4E-2</v>
      </c>
      <c r="CP27" s="44">
        <f t="shared" si="4"/>
        <v>0.03</v>
      </c>
      <c r="CQ27" s="44">
        <f t="shared" si="4"/>
        <v>3.5999999999999997E-2</v>
      </c>
      <c r="CR27" s="44">
        <f t="shared" si="4"/>
        <v>4.1999999999999996E-2</v>
      </c>
      <c r="CS27" s="44">
        <f t="shared" si="4"/>
        <v>4.7999999999999994E-2</v>
      </c>
      <c r="CT27" s="44">
        <f t="shared" si="4"/>
        <v>5.3999999999999992E-2</v>
      </c>
      <c r="CU27" s="44">
        <f t="shared" si="4"/>
        <v>5.9999999999999991E-2</v>
      </c>
      <c r="CV27" s="44">
        <f t="shared" si="6"/>
        <v>6.5999999999999989E-2</v>
      </c>
      <c r="CW27" s="44">
        <f t="shared" si="6"/>
        <v>7.1999999999999995E-2</v>
      </c>
    </row>
    <row r="28" spans="1:101" x14ac:dyDescent="0.25">
      <c r="A28" s="32">
        <v>50</v>
      </c>
      <c r="B28" t="s">
        <v>30</v>
      </c>
      <c r="AJ28">
        <v>105</v>
      </c>
      <c r="AK28">
        <v>35</v>
      </c>
      <c r="AL28" s="30">
        <v>4</v>
      </c>
      <c r="BK28" s="41" t="s">
        <v>8</v>
      </c>
      <c r="BL28" s="48">
        <v>14</v>
      </c>
      <c r="BM28" s="44">
        <f t="shared" si="8"/>
        <v>7.1999999999999995E-2</v>
      </c>
      <c r="BN28" s="44">
        <f t="shared" si="8"/>
        <v>7.8E-2</v>
      </c>
      <c r="BO28" s="44">
        <f t="shared" si="8"/>
        <v>8.4000000000000005E-2</v>
      </c>
      <c r="BP28" s="44">
        <f t="shared" si="8"/>
        <v>9.0000000000000011E-2</v>
      </c>
      <c r="BQ28" s="44">
        <f t="shared" si="8"/>
        <v>9.6000000000000016E-2</v>
      </c>
      <c r="BR28" s="44">
        <f t="shared" si="8"/>
        <v>0.10200000000000002</v>
      </c>
      <c r="BS28" s="47">
        <f>BS27</f>
        <v>0.10800000000000003</v>
      </c>
      <c r="BT28" s="47">
        <f t="shared" si="5"/>
        <v>0.10800000000000003</v>
      </c>
      <c r="BU28" s="44">
        <f t="shared" si="5"/>
        <v>0.10200000000000002</v>
      </c>
      <c r="BV28" s="44">
        <f t="shared" si="5"/>
        <v>9.6000000000000016E-2</v>
      </c>
      <c r="BW28" s="44">
        <f t="shared" si="5"/>
        <v>9.0000000000000011E-2</v>
      </c>
      <c r="BX28" s="44">
        <f t="shared" si="5"/>
        <v>8.4000000000000005E-2</v>
      </c>
      <c r="BY28" s="44">
        <f t="shared" si="5"/>
        <v>7.8E-2</v>
      </c>
      <c r="BZ28" s="44">
        <f t="shared" si="5"/>
        <v>7.1999999999999995E-2</v>
      </c>
      <c r="CA28" s="44">
        <f t="shared" si="5"/>
        <v>6.5999999999999989E-2</v>
      </c>
      <c r="CB28" s="44">
        <f t="shared" si="5"/>
        <v>5.9999999999999991E-2</v>
      </c>
      <c r="CC28" s="44">
        <f t="shared" si="5"/>
        <v>5.3999999999999992E-2</v>
      </c>
      <c r="CD28" s="45">
        <f t="shared" si="7"/>
        <v>4.7999999999999994E-2</v>
      </c>
      <c r="CE28" s="45">
        <f t="shared" si="7"/>
        <v>4.1999999999999996E-2</v>
      </c>
      <c r="CF28" s="45">
        <f t="shared" si="7"/>
        <v>3.5999999999999997E-2</v>
      </c>
      <c r="CG28" s="44">
        <f t="shared" si="7"/>
        <v>0.03</v>
      </c>
      <c r="CH28" s="44">
        <f t="shared" si="7"/>
        <v>2.4E-2</v>
      </c>
      <c r="CI28" s="44">
        <f t="shared" si="7"/>
        <v>1.8000000000000002E-2</v>
      </c>
      <c r="CJ28" s="44">
        <f t="shared" si="7"/>
        <v>1.2E-2</v>
      </c>
      <c r="CK28" s="44">
        <f t="shared" si="7"/>
        <v>6.0000000000000001E-3</v>
      </c>
      <c r="CL28" s="43">
        <v>0</v>
      </c>
      <c r="CM28" s="44">
        <f t="shared" si="4"/>
        <v>6.0000000000000001E-3</v>
      </c>
      <c r="CN28" s="44">
        <f t="shared" si="4"/>
        <v>1.2E-2</v>
      </c>
      <c r="CO28" s="44">
        <f t="shared" si="4"/>
        <v>1.8000000000000002E-2</v>
      </c>
      <c r="CP28" s="44">
        <f t="shared" si="4"/>
        <v>2.4E-2</v>
      </c>
      <c r="CQ28" s="44">
        <f t="shared" si="4"/>
        <v>0.03</v>
      </c>
      <c r="CR28" s="44">
        <f t="shared" si="4"/>
        <v>3.5999999999999997E-2</v>
      </c>
      <c r="CS28" s="44">
        <f t="shared" si="4"/>
        <v>4.1999999999999996E-2</v>
      </c>
      <c r="CT28" s="44">
        <f t="shared" si="4"/>
        <v>4.7999999999999994E-2</v>
      </c>
      <c r="CU28" s="44">
        <f t="shared" si="4"/>
        <v>5.3999999999999992E-2</v>
      </c>
      <c r="CV28" s="44">
        <f t="shared" si="6"/>
        <v>5.9999999999999991E-2</v>
      </c>
      <c r="CW28" s="44">
        <f t="shared" si="6"/>
        <v>6.5999999999999989E-2</v>
      </c>
    </row>
    <row r="29" spans="1:101" x14ac:dyDescent="0.25">
      <c r="A29" s="32">
        <v>52.5</v>
      </c>
      <c r="B29" t="s">
        <v>11</v>
      </c>
      <c r="AJ29">
        <v>107</v>
      </c>
      <c r="AK29">
        <v>35</v>
      </c>
      <c r="AL29" s="30">
        <v>7</v>
      </c>
      <c r="BK29" s="41" t="s">
        <v>9</v>
      </c>
      <c r="BL29" s="49">
        <v>31</v>
      </c>
      <c r="BM29" s="44">
        <f t="shared" si="8"/>
        <v>6.5999999999999989E-2</v>
      </c>
      <c r="BN29" s="44">
        <f t="shared" si="8"/>
        <v>7.1999999999999995E-2</v>
      </c>
      <c r="BO29" s="44">
        <f t="shared" si="8"/>
        <v>7.8E-2</v>
      </c>
      <c r="BP29" s="44">
        <f t="shared" si="8"/>
        <v>8.4000000000000005E-2</v>
      </c>
      <c r="BQ29" s="44">
        <f t="shared" si="8"/>
        <v>9.0000000000000011E-2</v>
      </c>
      <c r="BR29" s="44">
        <f t="shared" si="8"/>
        <v>9.6000000000000016E-2</v>
      </c>
      <c r="BS29" s="44">
        <f t="shared" si="8"/>
        <v>0.10200000000000002</v>
      </c>
      <c r="BT29" s="47">
        <f>BT28</f>
        <v>0.10800000000000003</v>
      </c>
      <c r="BU29" s="47">
        <f t="shared" si="5"/>
        <v>0.10800000000000003</v>
      </c>
      <c r="BV29" s="44">
        <f t="shared" si="5"/>
        <v>0.10200000000000002</v>
      </c>
      <c r="BW29" s="44">
        <f t="shared" si="5"/>
        <v>9.6000000000000016E-2</v>
      </c>
      <c r="BX29" s="44">
        <f t="shared" si="5"/>
        <v>9.0000000000000011E-2</v>
      </c>
      <c r="BY29" s="44">
        <f t="shared" si="5"/>
        <v>8.4000000000000005E-2</v>
      </c>
      <c r="BZ29" s="44">
        <f t="shared" si="5"/>
        <v>7.8E-2</v>
      </c>
      <c r="CA29" s="44">
        <f t="shared" si="5"/>
        <v>7.1999999999999995E-2</v>
      </c>
      <c r="CB29" s="44">
        <f t="shared" si="5"/>
        <v>6.5999999999999989E-2</v>
      </c>
      <c r="CC29" s="44">
        <f t="shared" si="5"/>
        <v>5.9999999999999991E-2</v>
      </c>
      <c r="CD29" s="45">
        <f t="shared" si="7"/>
        <v>5.3999999999999992E-2</v>
      </c>
      <c r="CE29" s="45">
        <f t="shared" si="7"/>
        <v>4.7999999999999994E-2</v>
      </c>
      <c r="CF29" s="45">
        <f t="shared" si="7"/>
        <v>4.1999999999999996E-2</v>
      </c>
      <c r="CG29" s="44">
        <f t="shared" si="7"/>
        <v>3.5999999999999997E-2</v>
      </c>
      <c r="CH29" s="44">
        <f t="shared" si="7"/>
        <v>0.03</v>
      </c>
      <c r="CI29" s="44">
        <f t="shared" si="7"/>
        <v>2.4E-2</v>
      </c>
      <c r="CJ29" s="44">
        <f t="shared" si="7"/>
        <v>1.8000000000000002E-2</v>
      </c>
      <c r="CK29" s="44">
        <f t="shared" si="7"/>
        <v>1.2E-2</v>
      </c>
      <c r="CL29" s="44">
        <f t="shared" si="7"/>
        <v>6.0000000000000001E-3</v>
      </c>
      <c r="CM29" s="43">
        <v>0</v>
      </c>
      <c r="CN29" s="44">
        <f t="shared" si="4"/>
        <v>6.0000000000000001E-3</v>
      </c>
      <c r="CO29" s="44">
        <f t="shared" si="4"/>
        <v>1.2E-2</v>
      </c>
      <c r="CP29" s="44">
        <f t="shared" si="4"/>
        <v>1.8000000000000002E-2</v>
      </c>
      <c r="CQ29" s="44">
        <f t="shared" si="4"/>
        <v>2.4E-2</v>
      </c>
      <c r="CR29" s="44">
        <f t="shared" si="4"/>
        <v>0.03</v>
      </c>
      <c r="CS29" s="44">
        <f t="shared" si="4"/>
        <v>3.5999999999999997E-2</v>
      </c>
      <c r="CT29" s="44">
        <f t="shared" si="4"/>
        <v>4.1999999999999996E-2</v>
      </c>
      <c r="CU29" s="44">
        <f t="shared" si="4"/>
        <v>4.7999999999999994E-2</v>
      </c>
      <c r="CV29" s="44">
        <f t="shared" si="6"/>
        <v>5.3999999999999992E-2</v>
      </c>
      <c r="CW29" s="44">
        <f t="shared" si="6"/>
        <v>5.9999999999999991E-2</v>
      </c>
    </row>
    <row r="30" spans="1:101" x14ac:dyDescent="0.25">
      <c r="A30" s="32">
        <v>55</v>
      </c>
      <c r="AJ30">
        <v>109</v>
      </c>
      <c r="AK30">
        <v>35</v>
      </c>
      <c r="AL30" s="30">
        <v>10</v>
      </c>
      <c r="BK30" s="41" t="s">
        <v>8</v>
      </c>
      <c r="BL30" s="48">
        <v>9</v>
      </c>
      <c r="BM30" s="44">
        <f t="shared" si="8"/>
        <v>5.9999999999999991E-2</v>
      </c>
      <c r="BN30" s="44">
        <f t="shared" si="8"/>
        <v>6.5999999999999989E-2</v>
      </c>
      <c r="BO30" s="44">
        <f t="shared" si="8"/>
        <v>7.1999999999999995E-2</v>
      </c>
      <c r="BP30" s="44">
        <f t="shared" si="8"/>
        <v>7.8E-2</v>
      </c>
      <c r="BQ30" s="44">
        <f t="shared" si="8"/>
        <v>8.4000000000000005E-2</v>
      </c>
      <c r="BR30" s="44">
        <f t="shared" si="8"/>
        <v>9.0000000000000011E-2</v>
      </c>
      <c r="BS30" s="44">
        <f t="shared" si="8"/>
        <v>9.6000000000000016E-2</v>
      </c>
      <c r="BT30" s="44">
        <f t="shared" si="8"/>
        <v>0.10200000000000002</v>
      </c>
      <c r="BU30" s="47">
        <f>BU29</f>
        <v>0.10800000000000003</v>
      </c>
      <c r="BV30" s="47">
        <f t="shared" si="5"/>
        <v>0.10800000000000003</v>
      </c>
      <c r="BW30" s="44">
        <f t="shared" si="5"/>
        <v>0.10200000000000002</v>
      </c>
      <c r="BX30" s="44">
        <f t="shared" si="5"/>
        <v>9.6000000000000016E-2</v>
      </c>
      <c r="BY30" s="44">
        <f t="shared" si="5"/>
        <v>9.0000000000000011E-2</v>
      </c>
      <c r="BZ30" s="44">
        <f t="shared" si="5"/>
        <v>8.4000000000000005E-2</v>
      </c>
      <c r="CA30" s="44">
        <f t="shared" si="5"/>
        <v>7.8E-2</v>
      </c>
      <c r="CB30" s="44">
        <f t="shared" si="5"/>
        <v>7.1999999999999995E-2</v>
      </c>
      <c r="CC30" s="44">
        <f t="shared" si="5"/>
        <v>6.5999999999999989E-2</v>
      </c>
      <c r="CD30" s="45">
        <f t="shared" si="7"/>
        <v>5.9999999999999991E-2</v>
      </c>
      <c r="CE30" s="45">
        <f t="shared" si="7"/>
        <v>5.3999999999999992E-2</v>
      </c>
      <c r="CF30" s="45">
        <f t="shared" si="7"/>
        <v>4.7999999999999994E-2</v>
      </c>
      <c r="CG30" s="44">
        <f t="shared" si="7"/>
        <v>4.1999999999999996E-2</v>
      </c>
      <c r="CH30" s="44">
        <f t="shared" si="7"/>
        <v>3.5999999999999997E-2</v>
      </c>
      <c r="CI30" s="44">
        <f t="shared" si="7"/>
        <v>0.03</v>
      </c>
      <c r="CJ30" s="44">
        <f t="shared" si="7"/>
        <v>2.4E-2</v>
      </c>
      <c r="CK30" s="44">
        <f t="shared" si="7"/>
        <v>1.8000000000000002E-2</v>
      </c>
      <c r="CL30" s="44">
        <f t="shared" si="7"/>
        <v>1.2E-2</v>
      </c>
      <c r="CM30" s="44">
        <f t="shared" si="7"/>
        <v>6.0000000000000001E-3</v>
      </c>
      <c r="CN30" s="43">
        <v>0</v>
      </c>
      <c r="CO30" s="44">
        <f t="shared" si="4"/>
        <v>6.0000000000000001E-3</v>
      </c>
      <c r="CP30" s="44">
        <f t="shared" si="4"/>
        <v>1.2E-2</v>
      </c>
      <c r="CQ30" s="44">
        <f t="shared" si="4"/>
        <v>1.8000000000000002E-2</v>
      </c>
      <c r="CR30" s="44">
        <f t="shared" si="4"/>
        <v>2.4E-2</v>
      </c>
      <c r="CS30" s="44">
        <f t="shared" si="4"/>
        <v>0.03</v>
      </c>
      <c r="CT30" s="44">
        <f t="shared" si="4"/>
        <v>3.5999999999999997E-2</v>
      </c>
      <c r="CU30" s="44">
        <f t="shared" si="4"/>
        <v>4.1999999999999996E-2</v>
      </c>
      <c r="CV30" s="44">
        <f t="shared" si="6"/>
        <v>4.7999999999999994E-2</v>
      </c>
      <c r="CW30" s="44">
        <f t="shared" si="6"/>
        <v>5.3999999999999992E-2</v>
      </c>
    </row>
    <row r="31" spans="1:101" x14ac:dyDescent="0.25">
      <c r="A31" s="32">
        <v>57.5</v>
      </c>
      <c r="C31" s="25"/>
      <c r="D31" t="s">
        <v>12</v>
      </c>
      <c r="AJ31">
        <v>111</v>
      </c>
      <c r="AK31">
        <v>35</v>
      </c>
      <c r="AL31" s="30">
        <v>13</v>
      </c>
      <c r="BK31" s="41" t="s">
        <v>9</v>
      </c>
      <c r="BL31" s="49">
        <v>22</v>
      </c>
      <c r="BM31" s="44">
        <f t="shared" si="8"/>
        <v>5.3999999999999992E-2</v>
      </c>
      <c r="BN31" s="44">
        <f t="shared" si="8"/>
        <v>5.9999999999999991E-2</v>
      </c>
      <c r="BO31" s="44">
        <f t="shared" si="8"/>
        <v>6.5999999999999989E-2</v>
      </c>
      <c r="BP31" s="44">
        <f t="shared" si="8"/>
        <v>7.1999999999999995E-2</v>
      </c>
      <c r="BQ31" s="44">
        <f t="shared" si="8"/>
        <v>7.8E-2</v>
      </c>
      <c r="BR31" s="44">
        <f t="shared" si="8"/>
        <v>8.4000000000000005E-2</v>
      </c>
      <c r="BS31" s="44">
        <f t="shared" si="8"/>
        <v>9.0000000000000011E-2</v>
      </c>
      <c r="BT31" s="44">
        <f t="shared" si="8"/>
        <v>9.6000000000000016E-2</v>
      </c>
      <c r="BU31" s="44">
        <f t="shared" si="8"/>
        <v>0.10200000000000002</v>
      </c>
      <c r="BV31" s="47">
        <f>BV30</f>
        <v>0.10800000000000003</v>
      </c>
      <c r="BW31" s="47">
        <f t="shared" si="5"/>
        <v>0.10800000000000003</v>
      </c>
      <c r="BX31" s="44">
        <f t="shared" si="5"/>
        <v>0.10200000000000002</v>
      </c>
      <c r="BY31" s="44">
        <f t="shared" si="5"/>
        <v>9.6000000000000016E-2</v>
      </c>
      <c r="BZ31" s="44">
        <f t="shared" si="5"/>
        <v>9.0000000000000011E-2</v>
      </c>
      <c r="CA31" s="44">
        <f t="shared" si="5"/>
        <v>8.4000000000000005E-2</v>
      </c>
      <c r="CB31" s="44">
        <f t="shared" si="5"/>
        <v>7.8E-2</v>
      </c>
      <c r="CC31" s="44">
        <f t="shared" si="5"/>
        <v>7.1999999999999995E-2</v>
      </c>
      <c r="CD31" s="45">
        <f t="shared" si="7"/>
        <v>6.5999999999999989E-2</v>
      </c>
      <c r="CE31" s="45">
        <f t="shared" si="7"/>
        <v>5.9999999999999991E-2</v>
      </c>
      <c r="CF31" s="45">
        <f t="shared" si="7"/>
        <v>5.3999999999999992E-2</v>
      </c>
      <c r="CG31" s="44">
        <f t="shared" si="7"/>
        <v>4.7999999999999994E-2</v>
      </c>
      <c r="CH31" s="44">
        <f t="shared" si="7"/>
        <v>4.1999999999999996E-2</v>
      </c>
      <c r="CI31" s="44">
        <f t="shared" si="7"/>
        <v>3.5999999999999997E-2</v>
      </c>
      <c r="CJ31" s="44">
        <f t="shared" si="7"/>
        <v>0.03</v>
      </c>
      <c r="CK31" s="44">
        <f t="shared" si="7"/>
        <v>2.4E-2</v>
      </c>
      <c r="CL31" s="44">
        <f t="shared" si="7"/>
        <v>1.8000000000000002E-2</v>
      </c>
      <c r="CM31" s="44">
        <f t="shared" si="7"/>
        <v>1.2E-2</v>
      </c>
      <c r="CN31" s="44">
        <f t="shared" si="7"/>
        <v>6.0000000000000001E-3</v>
      </c>
      <c r="CO31" s="43">
        <v>0</v>
      </c>
      <c r="CP31" s="44">
        <f t="shared" si="4"/>
        <v>6.0000000000000001E-3</v>
      </c>
      <c r="CQ31" s="44">
        <f t="shared" si="4"/>
        <v>1.2E-2</v>
      </c>
      <c r="CR31" s="44">
        <f t="shared" si="4"/>
        <v>1.8000000000000002E-2</v>
      </c>
      <c r="CS31" s="44">
        <f t="shared" si="4"/>
        <v>2.4E-2</v>
      </c>
      <c r="CT31" s="44">
        <f t="shared" si="4"/>
        <v>0.03</v>
      </c>
      <c r="CU31" s="44">
        <f t="shared" si="4"/>
        <v>3.5999999999999997E-2</v>
      </c>
      <c r="CV31" s="44">
        <f t="shared" si="6"/>
        <v>4.1999999999999996E-2</v>
      </c>
      <c r="CW31" s="44">
        <f t="shared" si="6"/>
        <v>4.7999999999999994E-2</v>
      </c>
    </row>
    <row r="32" spans="1:101" x14ac:dyDescent="0.25">
      <c r="A32" s="32">
        <v>60</v>
      </c>
      <c r="AJ32">
        <v>113</v>
      </c>
      <c r="AK32">
        <v>35</v>
      </c>
      <c r="AL32" s="30">
        <v>16</v>
      </c>
      <c r="BK32" s="41" t="s">
        <v>8</v>
      </c>
      <c r="BL32" s="48">
        <v>18</v>
      </c>
      <c r="BM32" s="44">
        <f t="shared" si="8"/>
        <v>4.7999999999999994E-2</v>
      </c>
      <c r="BN32" s="44">
        <f t="shared" si="8"/>
        <v>5.3999999999999992E-2</v>
      </c>
      <c r="BO32" s="44">
        <f t="shared" si="8"/>
        <v>5.9999999999999991E-2</v>
      </c>
      <c r="BP32" s="44">
        <f t="shared" si="8"/>
        <v>6.5999999999999989E-2</v>
      </c>
      <c r="BQ32" s="44">
        <f t="shared" si="8"/>
        <v>7.1999999999999995E-2</v>
      </c>
      <c r="BR32" s="44">
        <f t="shared" si="8"/>
        <v>7.8E-2</v>
      </c>
      <c r="BS32" s="44">
        <f t="shared" si="8"/>
        <v>8.4000000000000005E-2</v>
      </c>
      <c r="BT32" s="44">
        <f t="shared" si="8"/>
        <v>9.0000000000000011E-2</v>
      </c>
      <c r="BU32" s="44">
        <f t="shared" si="8"/>
        <v>9.6000000000000016E-2</v>
      </c>
      <c r="BV32" s="44">
        <f t="shared" si="8"/>
        <v>0.10200000000000002</v>
      </c>
      <c r="BW32" s="47">
        <f>BW31</f>
        <v>0.10800000000000003</v>
      </c>
      <c r="BX32" s="47">
        <f t="shared" si="5"/>
        <v>0.10800000000000003</v>
      </c>
      <c r="BY32" s="44">
        <f t="shared" si="5"/>
        <v>0.10200000000000002</v>
      </c>
      <c r="BZ32" s="44">
        <f t="shared" si="5"/>
        <v>9.6000000000000016E-2</v>
      </c>
      <c r="CA32" s="44">
        <f t="shared" si="5"/>
        <v>9.0000000000000011E-2</v>
      </c>
      <c r="CB32" s="44">
        <f t="shared" si="5"/>
        <v>8.4000000000000005E-2</v>
      </c>
      <c r="CC32" s="44">
        <f t="shared" si="5"/>
        <v>7.8E-2</v>
      </c>
      <c r="CD32" s="45">
        <f t="shared" si="7"/>
        <v>7.1999999999999995E-2</v>
      </c>
      <c r="CE32" s="45">
        <f t="shared" si="7"/>
        <v>6.5999999999999989E-2</v>
      </c>
      <c r="CF32" s="45">
        <f t="shared" si="7"/>
        <v>5.9999999999999991E-2</v>
      </c>
      <c r="CG32" s="44">
        <f t="shared" si="7"/>
        <v>5.3999999999999992E-2</v>
      </c>
      <c r="CH32" s="44">
        <f t="shared" si="7"/>
        <v>4.7999999999999994E-2</v>
      </c>
      <c r="CI32" s="44">
        <f t="shared" si="7"/>
        <v>4.1999999999999996E-2</v>
      </c>
      <c r="CJ32" s="44">
        <f t="shared" si="7"/>
        <v>3.5999999999999997E-2</v>
      </c>
      <c r="CK32" s="44">
        <f t="shared" si="7"/>
        <v>0.03</v>
      </c>
      <c r="CL32" s="44">
        <f t="shared" si="7"/>
        <v>2.4E-2</v>
      </c>
      <c r="CM32" s="44">
        <f t="shared" si="7"/>
        <v>1.8000000000000002E-2</v>
      </c>
      <c r="CN32" s="44">
        <f t="shared" si="7"/>
        <v>1.2E-2</v>
      </c>
      <c r="CO32" s="44">
        <f t="shared" si="7"/>
        <v>6.0000000000000001E-3</v>
      </c>
      <c r="CP32" s="43">
        <v>0</v>
      </c>
      <c r="CQ32" s="44">
        <f t="shared" si="4"/>
        <v>6.0000000000000001E-3</v>
      </c>
      <c r="CR32" s="44">
        <f t="shared" si="4"/>
        <v>1.2E-2</v>
      </c>
      <c r="CS32" s="44">
        <f t="shared" si="4"/>
        <v>1.8000000000000002E-2</v>
      </c>
      <c r="CT32" s="44">
        <f t="shared" si="4"/>
        <v>2.4E-2</v>
      </c>
      <c r="CU32" s="44">
        <f t="shared" si="4"/>
        <v>0.03</v>
      </c>
      <c r="CV32" s="44">
        <f t="shared" si="6"/>
        <v>3.5999999999999997E-2</v>
      </c>
      <c r="CW32" s="44">
        <f t="shared" si="6"/>
        <v>4.1999999999999996E-2</v>
      </c>
    </row>
    <row r="33" spans="1:101" x14ac:dyDescent="0.25">
      <c r="A33" s="32">
        <v>62.5</v>
      </c>
      <c r="AJ33">
        <v>115</v>
      </c>
      <c r="AK33">
        <v>35</v>
      </c>
      <c r="AL33" s="30">
        <v>19</v>
      </c>
      <c r="BK33" s="41" t="s">
        <v>9</v>
      </c>
      <c r="BL33" s="49">
        <v>29</v>
      </c>
      <c r="BM33" s="44">
        <f t="shared" si="8"/>
        <v>4.1999999999999996E-2</v>
      </c>
      <c r="BN33" s="44">
        <f t="shared" si="8"/>
        <v>4.7999999999999994E-2</v>
      </c>
      <c r="BO33" s="44">
        <f t="shared" si="8"/>
        <v>5.3999999999999992E-2</v>
      </c>
      <c r="BP33" s="44">
        <f t="shared" si="8"/>
        <v>5.9999999999999991E-2</v>
      </c>
      <c r="BQ33" s="44">
        <f t="shared" si="8"/>
        <v>6.5999999999999989E-2</v>
      </c>
      <c r="BR33" s="44">
        <f t="shared" si="8"/>
        <v>7.1999999999999995E-2</v>
      </c>
      <c r="BS33" s="44">
        <f t="shared" si="8"/>
        <v>7.8E-2</v>
      </c>
      <c r="BT33" s="44">
        <f t="shared" si="8"/>
        <v>8.4000000000000005E-2</v>
      </c>
      <c r="BU33" s="44">
        <f t="shared" si="8"/>
        <v>9.0000000000000011E-2</v>
      </c>
      <c r="BV33" s="44">
        <f t="shared" si="8"/>
        <v>9.6000000000000016E-2</v>
      </c>
      <c r="BW33" s="44">
        <f t="shared" si="8"/>
        <v>0.10200000000000002</v>
      </c>
      <c r="BX33" s="47">
        <f>BX32</f>
        <v>0.10800000000000003</v>
      </c>
      <c r="BY33" s="47">
        <f t="shared" si="5"/>
        <v>0.10800000000000003</v>
      </c>
      <c r="BZ33" s="44">
        <f t="shared" si="5"/>
        <v>0.10200000000000002</v>
      </c>
      <c r="CA33" s="44">
        <f t="shared" si="5"/>
        <v>9.6000000000000016E-2</v>
      </c>
      <c r="CB33" s="44">
        <f t="shared" si="5"/>
        <v>9.0000000000000011E-2</v>
      </c>
      <c r="CC33" s="44">
        <f t="shared" si="5"/>
        <v>8.4000000000000005E-2</v>
      </c>
      <c r="CD33" s="45">
        <f t="shared" si="7"/>
        <v>7.8E-2</v>
      </c>
      <c r="CE33" s="45">
        <f t="shared" si="7"/>
        <v>7.1999999999999995E-2</v>
      </c>
      <c r="CF33" s="45">
        <f t="shared" si="7"/>
        <v>6.5999999999999989E-2</v>
      </c>
      <c r="CG33" s="44">
        <f t="shared" si="7"/>
        <v>5.9999999999999991E-2</v>
      </c>
      <c r="CH33" s="44">
        <f t="shared" si="7"/>
        <v>5.3999999999999992E-2</v>
      </c>
      <c r="CI33" s="44">
        <f t="shared" si="7"/>
        <v>4.7999999999999994E-2</v>
      </c>
      <c r="CJ33" s="44">
        <f t="shared" si="7"/>
        <v>4.1999999999999996E-2</v>
      </c>
      <c r="CK33" s="44">
        <f t="shared" si="7"/>
        <v>3.5999999999999997E-2</v>
      </c>
      <c r="CL33" s="44">
        <f t="shared" si="7"/>
        <v>0.03</v>
      </c>
      <c r="CM33" s="44">
        <f t="shared" si="7"/>
        <v>2.4E-2</v>
      </c>
      <c r="CN33" s="44">
        <f t="shared" si="7"/>
        <v>1.8000000000000002E-2</v>
      </c>
      <c r="CO33" s="44">
        <f t="shared" si="7"/>
        <v>1.2E-2</v>
      </c>
      <c r="CP33" s="44">
        <f t="shared" si="7"/>
        <v>6.0000000000000001E-3</v>
      </c>
      <c r="CQ33" s="43">
        <v>0</v>
      </c>
      <c r="CR33" s="44">
        <f t="shared" si="4"/>
        <v>6.0000000000000001E-3</v>
      </c>
      <c r="CS33" s="44">
        <f t="shared" si="4"/>
        <v>1.2E-2</v>
      </c>
      <c r="CT33" s="44">
        <f t="shared" si="4"/>
        <v>1.8000000000000002E-2</v>
      </c>
      <c r="CU33" s="44">
        <f t="shared" si="4"/>
        <v>2.4E-2</v>
      </c>
      <c r="CV33" s="44">
        <f t="shared" si="6"/>
        <v>0.03</v>
      </c>
      <c r="CW33" s="44">
        <f t="shared" si="6"/>
        <v>3.5999999999999997E-2</v>
      </c>
    </row>
    <row r="34" spans="1:101" x14ac:dyDescent="0.25">
      <c r="A34" s="32">
        <v>65</v>
      </c>
      <c r="AJ34">
        <v>117</v>
      </c>
      <c r="AK34">
        <v>35</v>
      </c>
      <c r="AL34" s="30">
        <v>22</v>
      </c>
      <c r="BK34" s="41" t="s">
        <v>8</v>
      </c>
      <c r="BL34" s="48">
        <v>7</v>
      </c>
      <c r="BM34" s="44">
        <f t="shared" si="8"/>
        <v>3.5999999999999997E-2</v>
      </c>
      <c r="BN34" s="44">
        <f t="shared" si="8"/>
        <v>4.1999999999999996E-2</v>
      </c>
      <c r="BO34" s="44">
        <f t="shared" si="8"/>
        <v>4.7999999999999994E-2</v>
      </c>
      <c r="BP34" s="44">
        <f t="shared" si="8"/>
        <v>5.3999999999999992E-2</v>
      </c>
      <c r="BQ34" s="44">
        <f t="shared" si="8"/>
        <v>5.9999999999999991E-2</v>
      </c>
      <c r="BR34" s="44">
        <f t="shared" si="8"/>
        <v>6.5999999999999989E-2</v>
      </c>
      <c r="BS34" s="44">
        <f t="shared" si="8"/>
        <v>7.1999999999999995E-2</v>
      </c>
      <c r="BT34" s="44">
        <f t="shared" si="8"/>
        <v>7.8E-2</v>
      </c>
      <c r="BU34" s="44">
        <f t="shared" si="8"/>
        <v>8.4000000000000005E-2</v>
      </c>
      <c r="BV34" s="44">
        <f t="shared" si="8"/>
        <v>9.0000000000000011E-2</v>
      </c>
      <c r="BW34" s="44">
        <f t="shared" si="8"/>
        <v>9.6000000000000016E-2</v>
      </c>
      <c r="BX34" s="44">
        <f t="shared" si="8"/>
        <v>0.10200000000000002</v>
      </c>
      <c r="BY34" s="47">
        <f>BY33</f>
        <v>0.10800000000000003</v>
      </c>
      <c r="BZ34" s="47">
        <f t="shared" si="5"/>
        <v>0.10800000000000003</v>
      </c>
      <c r="CA34" s="44">
        <f t="shared" si="5"/>
        <v>0.10200000000000002</v>
      </c>
      <c r="CB34" s="44">
        <f t="shared" si="5"/>
        <v>9.6000000000000016E-2</v>
      </c>
      <c r="CC34" s="44">
        <f t="shared" si="5"/>
        <v>9.0000000000000011E-2</v>
      </c>
      <c r="CD34" s="45">
        <f t="shared" si="7"/>
        <v>8.4000000000000005E-2</v>
      </c>
      <c r="CE34" s="45">
        <f t="shared" si="7"/>
        <v>7.8E-2</v>
      </c>
      <c r="CF34" s="45">
        <f t="shared" si="7"/>
        <v>7.1999999999999995E-2</v>
      </c>
      <c r="CG34" s="44">
        <f t="shared" si="7"/>
        <v>6.5999999999999989E-2</v>
      </c>
      <c r="CH34" s="44">
        <f t="shared" si="7"/>
        <v>5.9999999999999991E-2</v>
      </c>
      <c r="CI34" s="44">
        <f t="shared" si="7"/>
        <v>5.3999999999999992E-2</v>
      </c>
      <c r="CJ34" s="44">
        <f t="shared" si="7"/>
        <v>4.7999999999999994E-2</v>
      </c>
      <c r="CK34" s="44">
        <f t="shared" si="7"/>
        <v>4.1999999999999996E-2</v>
      </c>
      <c r="CL34" s="44">
        <f t="shared" si="7"/>
        <v>3.5999999999999997E-2</v>
      </c>
      <c r="CM34" s="44">
        <f t="shared" si="7"/>
        <v>0.03</v>
      </c>
      <c r="CN34" s="44">
        <f t="shared" si="7"/>
        <v>2.4E-2</v>
      </c>
      <c r="CO34" s="44">
        <f t="shared" si="7"/>
        <v>1.8000000000000002E-2</v>
      </c>
      <c r="CP34" s="44">
        <f t="shared" si="7"/>
        <v>1.2E-2</v>
      </c>
      <c r="CQ34" s="44">
        <f t="shared" si="7"/>
        <v>6.0000000000000001E-3</v>
      </c>
      <c r="CR34" s="43">
        <v>0</v>
      </c>
      <c r="CS34" s="44">
        <f>CS35+$BL$2</f>
        <v>6.0000000000000001E-3</v>
      </c>
      <c r="CT34" s="44">
        <f>CT35+$BL$2</f>
        <v>1.2E-2</v>
      </c>
      <c r="CU34" s="44">
        <f>CU35+$BL$2</f>
        <v>1.8000000000000002E-2</v>
      </c>
      <c r="CV34" s="44">
        <f>CV35+$BL$2</f>
        <v>2.4E-2</v>
      </c>
      <c r="CW34" s="44">
        <f>CW35+$BL$2</f>
        <v>0.03</v>
      </c>
    </row>
    <row r="35" spans="1:101" x14ac:dyDescent="0.25">
      <c r="A35" s="32">
        <v>67.5</v>
      </c>
      <c r="AJ35">
        <v>119</v>
      </c>
      <c r="AK35">
        <v>35</v>
      </c>
      <c r="AL35" s="30">
        <v>25</v>
      </c>
      <c r="BK35" s="41" t="s">
        <v>9</v>
      </c>
      <c r="BL35" s="49">
        <v>28</v>
      </c>
      <c r="BM35" s="44">
        <f t="shared" si="8"/>
        <v>0.03</v>
      </c>
      <c r="BN35" s="44">
        <f t="shared" si="8"/>
        <v>3.5999999999999997E-2</v>
      </c>
      <c r="BO35" s="44">
        <f t="shared" si="8"/>
        <v>4.1999999999999996E-2</v>
      </c>
      <c r="BP35" s="44">
        <f t="shared" si="8"/>
        <v>4.7999999999999994E-2</v>
      </c>
      <c r="BQ35" s="44">
        <f t="shared" si="8"/>
        <v>5.3999999999999992E-2</v>
      </c>
      <c r="BR35" s="44">
        <f t="shared" si="8"/>
        <v>5.9999999999999991E-2</v>
      </c>
      <c r="BS35" s="44">
        <f t="shared" si="8"/>
        <v>6.5999999999999989E-2</v>
      </c>
      <c r="BT35" s="44">
        <f t="shared" si="8"/>
        <v>7.1999999999999995E-2</v>
      </c>
      <c r="BU35" s="44">
        <f t="shared" si="8"/>
        <v>7.8E-2</v>
      </c>
      <c r="BV35" s="44">
        <f t="shared" si="8"/>
        <v>8.4000000000000005E-2</v>
      </c>
      <c r="BW35" s="44">
        <f t="shared" si="8"/>
        <v>9.0000000000000011E-2</v>
      </c>
      <c r="BX35" s="44">
        <f t="shared" si="8"/>
        <v>9.6000000000000016E-2</v>
      </c>
      <c r="BY35" s="44">
        <f>BY34-$BL$2</f>
        <v>0.10200000000000002</v>
      </c>
      <c r="BZ35" s="47">
        <f>BZ34</f>
        <v>0.10800000000000003</v>
      </c>
      <c r="CA35" s="47">
        <f t="shared" si="5"/>
        <v>0.10800000000000003</v>
      </c>
      <c r="CB35" s="44">
        <f t="shared" si="5"/>
        <v>0.10200000000000002</v>
      </c>
      <c r="CC35" s="44">
        <f t="shared" si="5"/>
        <v>9.6000000000000016E-2</v>
      </c>
      <c r="CD35" s="45">
        <f t="shared" si="7"/>
        <v>9.0000000000000011E-2</v>
      </c>
      <c r="CE35" s="45">
        <f t="shared" si="7"/>
        <v>8.4000000000000005E-2</v>
      </c>
      <c r="CF35" s="45">
        <f t="shared" si="7"/>
        <v>7.8E-2</v>
      </c>
      <c r="CG35" s="44">
        <f t="shared" si="7"/>
        <v>7.1999999999999995E-2</v>
      </c>
      <c r="CH35" s="44">
        <f t="shared" si="7"/>
        <v>6.5999999999999989E-2</v>
      </c>
      <c r="CI35" s="44">
        <f t="shared" si="7"/>
        <v>5.9999999999999991E-2</v>
      </c>
      <c r="CJ35" s="44">
        <f t="shared" si="7"/>
        <v>5.3999999999999992E-2</v>
      </c>
      <c r="CK35" s="44">
        <f t="shared" si="7"/>
        <v>4.7999999999999994E-2</v>
      </c>
      <c r="CL35" s="44">
        <f t="shared" si="7"/>
        <v>4.1999999999999996E-2</v>
      </c>
      <c r="CM35" s="44">
        <f t="shared" si="7"/>
        <v>3.5999999999999997E-2</v>
      </c>
      <c r="CN35" s="44">
        <f t="shared" si="7"/>
        <v>0.03</v>
      </c>
      <c r="CO35" s="44">
        <f t="shared" si="7"/>
        <v>2.4E-2</v>
      </c>
      <c r="CP35" s="44">
        <f t="shared" si="7"/>
        <v>1.8000000000000002E-2</v>
      </c>
      <c r="CQ35" s="44">
        <f t="shared" si="7"/>
        <v>1.2E-2</v>
      </c>
      <c r="CR35" s="44">
        <f>CR34+$BL$2</f>
        <v>6.0000000000000001E-3</v>
      </c>
      <c r="CS35" s="43">
        <v>0</v>
      </c>
      <c r="CT35" s="44">
        <f>CT36+$BL$2</f>
        <v>6.0000000000000001E-3</v>
      </c>
      <c r="CU35" s="44">
        <f>CU36+$BL$2</f>
        <v>1.2E-2</v>
      </c>
      <c r="CV35" s="44">
        <f>CV36+$BL$2</f>
        <v>1.8000000000000002E-2</v>
      </c>
      <c r="CW35" s="44">
        <f>CW36+$BL$2</f>
        <v>2.4E-2</v>
      </c>
    </row>
    <row r="36" spans="1:101" x14ac:dyDescent="0.25">
      <c r="A36" s="32">
        <v>70</v>
      </c>
      <c r="AJ36">
        <v>121</v>
      </c>
      <c r="AK36">
        <v>35</v>
      </c>
      <c r="AL36" s="30">
        <v>28</v>
      </c>
      <c r="BK36" s="41" t="s">
        <v>8</v>
      </c>
      <c r="BL36" s="48">
        <v>12</v>
      </c>
      <c r="BM36" s="44">
        <f t="shared" si="8"/>
        <v>2.4E-2</v>
      </c>
      <c r="BN36" s="44">
        <f t="shared" si="8"/>
        <v>0.03</v>
      </c>
      <c r="BO36" s="44">
        <f t="shared" si="8"/>
        <v>3.5999999999999997E-2</v>
      </c>
      <c r="BP36" s="44">
        <f t="shared" si="8"/>
        <v>4.1999999999999996E-2</v>
      </c>
      <c r="BQ36" s="44">
        <f t="shared" si="8"/>
        <v>4.7999999999999994E-2</v>
      </c>
      <c r="BR36" s="44">
        <f t="shared" si="8"/>
        <v>5.3999999999999992E-2</v>
      </c>
      <c r="BS36" s="44">
        <f t="shared" si="8"/>
        <v>5.9999999999999991E-2</v>
      </c>
      <c r="BT36" s="44">
        <f t="shared" si="8"/>
        <v>6.5999999999999989E-2</v>
      </c>
      <c r="BU36" s="44">
        <f t="shared" si="8"/>
        <v>7.1999999999999995E-2</v>
      </c>
      <c r="BV36" s="44">
        <f t="shared" si="8"/>
        <v>7.8E-2</v>
      </c>
      <c r="BW36" s="44">
        <f t="shared" si="8"/>
        <v>8.4000000000000005E-2</v>
      </c>
      <c r="BX36" s="44">
        <f t="shared" si="8"/>
        <v>9.0000000000000011E-2</v>
      </c>
      <c r="BY36" s="44">
        <f>BY35-$BL$2</f>
        <v>9.6000000000000016E-2</v>
      </c>
      <c r="BZ36" s="44">
        <f>BZ35-$BL$2</f>
        <v>0.10200000000000002</v>
      </c>
      <c r="CA36" s="47">
        <f>CA35</f>
        <v>0.10800000000000003</v>
      </c>
      <c r="CB36" s="47">
        <f t="shared" ref="CB36:CQ39" si="9">CB35+$BL$2</f>
        <v>0.10800000000000003</v>
      </c>
      <c r="CC36" s="44">
        <f t="shared" si="9"/>
        <v>0.10200000000000002</v>
      </c>
      <c r="CD36" s="45">
        <f t="shared" si="7"/>
        <v>9.6000000000000016E-2</v>
      </c>
      <c r="CE36" s="45">
        <f t="shared" si="7"/>
        <v>9.0000000000000011E-2</v>
      </c>
      <c r="CF36" s="45">
        <f t="shared" si="7"/>
        <v>8.4000000000000005E-2</v>
      </c>
      <c r="CG36" s="44">
        <f t="shared" si="7"/>
        <v>7.8E-2</v>
      </c>
      <c r="CH36" s="44">
        <f t="shared" si="7"/>
        <v>7.1999999999999995E-2</v>
      </c>
      <c r="CI36" s="44">
        <f t="shared" si="7"/>
        <v>6.5999999999999989E-2</v>
      </c>
      <c r="CJ36" s="44">
        <f t="shared" si="7"/>
        <v>5.9999999999999991E-2</v>
      </c>
      <c r="CK36" s="44">
        <f t="shared" si="7"/>
        <v>5.3999999999999992E-2</v>
      </c>
      <c r="CL36" s="44">
        <f t="shared" si="7"/>
        <v>4.7999999999999994E-2</v>
      </c>
      <c r="CM36" s="44">
        <f t="shared" si="7"/>
        <v>4.1999999999999996E-2</v>
      </c>
      <c r="CN36" s="44">
        <f t="shared" si="7"/>
        <v>3.5999999999999997E-2</v>
      </c>
      <c r="CO36" s="44">
        <f t="shared" si="7"/>
        <v>0.03</v>
      </c>
      <c r="CP36" s="44">
        <f t="shared" si="7"/>
        <v>2.4E-2</v>
      </c>
      <c r="CQ36" s="44">
        <f t="shared" si="7"/>
        <v>1.8000000000000002E-2</v>
      </c>
      <c r="CR36" s="44">
        <f>CR35+$BL$2</f>
        <v>1.2E-2</v>
      </c>
      <c r="CS36" s="44">
        <f>CS35+$BL$2</f>
        <v>6.0000000000000001E-3</v>
      </c>
      <c r="CT36" s="43">
        <v>0</v>
      </c>
      <c r="CU36" s="44">
        <f>CU37+$BL$2</f>
        <v>6.0000000000000001E-3</v>
      </c>
      <c r="CV36" s="44">
        <f>CV37+$BL$2</f>
        <v>1.2E-2</v>
      </c>
      <c r="CW36" s="44">
        <f>CW37+$BL$2</f>
        <v>1.8000000000000002E-2</v>
      </c>
    </row>
    <row r="37" spans="1:101" x14ac:dyDescent="0.25">
      <c r="A37" s="32">
        <v>72.5</v>
      </c>
      <c r="AJ37">
        <v>123</v>
      </c>
      <c r="AK37">
        <v>35</v>
      </c>
      <c r="AL37" s="30">
        <v>31</v>
      </c>
      <c r="BK37" s="41" t="s">
        <v>9</v>
      </c>
      <c r="BL37" s="49">
        <v>35</v>
      </c>
      <c r="BM37" s="44">
        <f t="shared" si="8"/>
        <v>1.8000000000000002E-2</v>
      </c>
      <c r="BN37" s="44">
        <f t="shared" si="8"/>
        <v>2.4E-2</v>
      </c>
      <c r="BO37" s="44">
        <f t="shared" si="8"/>
        <v>0.03</v>
      </c>
      <c r="BP37" s="44">
        <f t="shared" si="8"/>
        <v>3.5999999999999997E-2</v>
      </c>
      <c r="BQ37" s="44">
        <f t="shared" si="8"/>
        <v>4.1999999999999996E-2</v>
      </c>
      <c r="BR37" s="44">
        <f t="shared" si="8"/>
        <v>4.7999999999999994E-2</v>
      </c>
      <c r="BS37" s="44">
        <f t="shared" si="8"/>
        <v>5.3999999999999992E-2</v>
      </c>
      <c r="BT37" s="44">
        <f t="shared" si="8"/>
        <v>5.9999999999999991E-2</v>
      </c>
      <c r="BU37" s="44">
        <f t="shared" si="8"/>
        <v>6.5999999999999989E-2</v>
      </c>
      <c r="BV37" s="44">
        <f t="shared" si="8"/>
        <v>7.1999999999999995E-2</v>
      </c>
      <c r="BW37" s="44">
        <f t="shared" si="8"/>
        <v>7.8E-2</v>
      </c>
      <c r="BX37" s="44">
        <f t="shared" si="8"/>
        <v>8.4000000000000005E-2</v>
      </c>
      <c r="BY37" s="44">
        <f>BY36-$BL$2</f>
        <v>9.0000000000000011E-2</v>
      </c>
      <c r="BZ37" s="44">
        <f>BZ36-$BL$2</f>
        <v>9.6000000000000016E-2</v>
      </c>
      <c r="CA37" s="44">
        <f>CA36-$BL$2</f>
        <v>0.10200000000000002</v>
      </c>
      <c r="CB37" s="47">
        <f>CB36</f>
        <v>0.10800000000000003</v>
      </c>
      <c r="CC37" s="47">
        <f t="shared" si="9"/>
        <v>0.10800000000000003</v>
      </c>
      <c r="CD37" s="45">
        <f t="shared" si="9"/>
        <v>0.10200000000000002</v>
      </c>
      <c r="CE37" s="45">
        <f t="shared" si="9"/>
        <v>9.6000000000000016E-2</v>
      </c>
      <c r="CF37" s="45">
        <f t="shared" si="9"/>
        <v>9.0000000000000011E-2</v>
      </c>
      <c r="CG37" s="44">
        <f t="shared" si="9"/>
        <v>8.4000000000000005E-2</v>
      </c>
      <c r="CH37" s="44">
        <f t="shared" si="9"/>
        <v>7.8E-2</v>
      </c>
      <c r="CI37" s="44">
        <f t="shared" si="9"/>
        <v>7.1999999999999995E-2</v>
      </c>
      <c r="CJ37" s="44">
        <f t="shared" si="9"/>
        <v>6.5999999999999989E-2</v>
      </c>
      <c r="CK37" s="44">
        <f t="shared" si="9"/>
        <v>5.9999999999999991E-2</v>
      </c>
      <c r="CL37" s="44">
        <f t="shared" si="9"/>
        <v>5.3999999999999992E-2</v>
      </c>
      <c r="CM37" s="44">
        <f t="shared" si="9"/>
        <v>4.7999999999999994E-2</v>
      </c>
      <c r="CN37" s="44">
        <f t="shared" si="9"/>
        <v>4.1999999999999996E-2</v>
      </c>
      <c r="CO37" s="44">
        <f t="shared" si="9"/>
        <v>3.5999999999999997E-2</v>
      </c>
      <c r="CP37" s="44">
        <f t="shared" si="9"/>
        <v>0.03</v>
      </c>
      <c r="CQ37" s="44">
        <f t="shared" si="9"/>
        <v>2.4E-2</v>
      </c>
      <c r="CR37" s="44">
        <f>CR36+$BL$2</f>
        <v>1.8000000000000002E-2</v>
      </c>
      <c r="CS37" s="44">
        <f>CS36+$BL$2</f>
        <v>1.2E-2</v>
      </c>
      <c r="CT37" s="44">
        <f>CT36+$BL$2</f>
        <v>6.0000000000000001E-3</v>
      </c>
      <c r="CU37" s="43">
        <v>0</v>
      </c>
      <c r="CV37" s="44">
        <f>CV38+$BL$2</f>
        <v>6.0000000000000001E-3</v>
      </c>
      <c r="CW37" s="44">
        <f>CW38+$BL$2</f>
        <v>1.2E-2</v>
      </c>
    </row>
    <row r="38" spans="1:101" x14ac:dyDescent="0.25">
      <c r="A38" s="32">
        <v>75</v>
      </c>
      <c r="AJ38">
        <v>125</v>
      </c>
      <c r="AK38">
        <v>35</v>
      </c>
      <c r="AL38" s="30">
        <v>34</v>
      </c>
      <c r="BK38" s="41" t="s">
        <v>8</v>
      </c>
      <c r="BL38" s="48">
        <v>3</v>
      </c>
      <c r="BM38" s="44">
        <f t="shared" si="8"/>
        <v>1.2000000000000002E-2</v>
      </c>
      <c r="BN38" s="44">
        <f t="shared" si="8"/>
        <v>1.8000000000000002E-2</v>
      </c>
      <c r="BO38" s="44">
        <f t="shared" si="8"/>
        <v>2.4E-2</v>
      </c>
      <c r="BP38" s="44">
        <f t="shared" si="8"/>
        <v>0.03</v>
      </c>
      <c r="BQ38" s="44">
        <f t="shared" si="8"/>
        <v>3.5999999999999997E-2</v>
      </c>
      <c r="BR38" s="44">
        <f t="shared" si="8"/>
        <v>4.1999999999999996E-2</v>
      </c>
      <c r="BS38" s="44">
        <f t="shared" si="8"/>
        <v>4.7999999999999994E-2</v>
      </c>
      <c r="BT38" s="44">
        <f t="shared" si="8"/>
        <v>5.3999999999999992E-2</v>
      </c>
      <c r="BU38" s="44">
        <f t="shared" si="8"/>
        <v>5.9999999999999991E-2</v>
      </c>
      <c r="BV38" s="44">
        <f t="shared" si="8"/>
        <v>6.5999999999999989E-2</v>
      </c>
      <c r="BW38" s="44">
        <f t="shared" si="8"/>
        <v>7.1999999999999995E-2</v>
      </c>
      <c r="BX38" s="44">
        <f t="shared" si="8"/>
        <v>7.8E-2</v>
      </c>
      <c r="BY38" s="44">
        <f>BY37-$BL$2</f>
        <v>8.4000000000000005E-2</v>
      </c>
      <c r="BZ38" s="44">
        <f>BZ37-$BL$2</f>
        <v>9.0000000000000011E-2</v>
      </c>
      <c r="CA38" s="44">
        <f>CA37-$BL$2</f>
        <v>9.6000000000000016E-2</v>
      </c>
      <c r="CB38" s="44">
        <f>CB37-$BL$2</f>
        <v>0.10200000000000002</v>
      </c>
      <c r="CC38" s="47">
        <f>CC37</f>
        <v>0.10800000000000003</v>
      </c>
      <c r="CD38" s="46">
        <f t="shared" si="9"/>
        <v>0.10800000000000003</v>
      </c>
      <c r="CE38" s="45">
        <f t="shared" si="9"/>
        <v>0.10200000000000002</v>
      </c>
      <c r="CF38" s="45">
        <f t="shared" si="9"/>
        <v>9.6000000000000016E-2</v>
      </c>
      <c r="CG38" s="44">
        <f t="shared" si="9"/>
        <v>9.0000000000000011E-2</v>
      </c>
      <c r="CH38" s="44">
        <f t="shared" si="9"/>
        <v>8.4000000000000005E-2</v>
      </c>
      <c r="CI38" s="44">
        <f t="shared" si="9"/>
        <v>7.8E-2</v>
      </c>
      <c r="CJ38" s="44">
        <f t="shared" si="9"/>
        <v>7.1999999999999995E-2</v>
      </c>
      <c r="CK38" s="44">
        <f t="shared" si="9"/>
        <v>6.5999999999999989E-2</v>
      </c>
      <c r="CL38" s="44">
        <f t="shared" si="9"/>
        <v>5.9999999999999991E-2</v>
      </c>
      <c r="CM38" s="44">
        <f t="shared" si="9"/>
        <v>5.3999999999999992E-2</v>
      </c>
      <c r="CN38" s="44">
        <f t="shared" si="9"/>
        <v>4.7999999999999994E-2</v>
      </c>
      <c r="CO38" s="44">
        <f t="shared" si="9"/>
        <v>4.1999999999999996E-2</v>
      </c>
      <c r="CP38" s="44">
        <f t="shared" si="9"/>
        <v>3.5999999999999997E-2</v>
      </c>
      <c r="CQ38" s="44">
        <f t="shared" si="9"/>
        <v>0.03</v>
      </c>
      <c r="CR38" s="44">
        <f>CR37+$BL$2</f>
        <v>2.4E-2</v>
      </c>
      <c r="CS38" s="44">
        <f>CS37+$BL$2</f>
        <v>1.8000000000000002E-2</v>
      </c>
      <c r="CT38" s="44">
        <f>CT37+$BL$2</f>
        <v>1.2E-2</v>
      </c>
      <c r="CU38" s="44">
        <f>CU37+$BL$2</f>
        <v>6.0000000000000001E-3</v>
      </c>
      <c r="CV38" s="43">
        <v>0</v>
      </c>
      <c r="CW38" s="44">
        <f>CW39+$BL$2</f>
        <v>6.0000000000000001E-3</v>
      </c>
    </row>
    <row r="39" spans="1:101" x14ac:dyDescent="0.25">
      <c r="A39" s="32">
        <v>77.5</v>
      </c>
      <c r="BK39" s="41" t="s">
        <v>9</v>
      </c>
      <c r="BL39" s="49">
        <v>26</v>
      </c>
      <c r="BM39" s="44">
        <f t="shared" ref="BM39:BX39" si="10">BM38-$BL$2</f>
        <v>6.0000000000000019E-3</v>
      </c>
      <c r="BN39" s="44">
        <f t="shared" si="10"/>
        <v>1.2000000000000002E-2</v>
      </c>
      <c r="BO39" s="44">
        <f t="shared" si="10"/>
        <v>1.8000000000000002E-2</v>
      </c>
      <c r="BP39" s="44">
        <f t="shared" si="10"/>
        <v>2.4E-2</v>
      </c>
      <c r="BQ39" s="44">
        <f t="shared" si="10"/>
        <v>0.03</v>
      </c>
      <c r="BR39" s="44">
        <f t="shared" si="10"/>
        <v>3.5999999999999997E-2</v>
      </c>
      <c r="BS39" s="44">
        <f t="shared" si="10"/>
        <v>4.1999999999999996E-2</v>
      </c>
      <c r="BT39" s="44">
        <f t="shared" si="10"/>
        <v>4.7999999999999994E-2</v>
      </c>
      <c r="BU39" s="44">
        <f t="shared" si="10"/>
        <v>5.3999999999999992E-2</v>
      </c>
      <c r="BV39" s="44">
        <f t="shared" si="10"/>
        <v>5.9999999999999991E-2</v>
      </c>
      <c r="BW39" s="44">
        <f t="shared" si="10"/>
        <v>6.5999999999999989E-2</v>
      </c>
      <c r="BX39" s="44">
        <f t="shared" si="10"/>
        <v>7.1999999999999995E-2</v>
      </c>
      <c r="BY39" s="44">
        <f>BY38-$BL$2</f>
        <v>7.8E-2</v>
      </c>
      <c r="BZ39" s="44">
        <f>BZ38-$BL$2</f>
        <v>8.4000000000000005E-2</v>
      </c>
      <c r="CA39" s="44">
        <f>CA38-$BL$2</f>
        <v>9.0000000000000011E-2</v>
      </c>
      <c r="CB39" s="44">
        <f>CB38-$BL$2</f>
        <v>9.6000000000000016E-2</v>
      </c>
      <c r="CC39" s="44">
        <f>CC38-$BL$2</f>
        <v>0.10200000000000002</v>
      </c>
      <c r="CD39" s="47">
        <f>CD3+$BL$2</f>
        <v>0.10800000000000003</v>
      </c>
      <c r="CE39" s="46">
        <f t="shared" si="9"/>
        <v>0.10800000000000003</v>
      </c>
      <c r="CF39" s="45">
        <f t="shared" si="9"/>
        <v>0.10200000000000002</v>
      </c>
      <c r="CG39" s="44">
        <f t="shared" si="9"/>
        <v>9.6000000000000016E-2</v>
      </c>
      <c r="CH39" s="44">
        <f t="shared" si="9"/>
        <v>9.0000000000000011E-2</v>
      </c>
      <c r="CI39" s="44">
        <f t="shared" si="9"/>
        <v>8.4000000000000005E-2</v>
      </c>
      <c r="CJ39" s="44">
        <f t="shared" si="9"/>
        <v>7.8E-2</v>
      </c>
      <c r="CK39" s="44">
        <f t="shared" si="9"/>
        <v>7.1999999999999995E-2</v>
      </c>
      <c r="CL39" s="44">
        <f t="shared" si="9"/>
        <v>6.5999999999999989E-2</v>
      </c>
      <c r="CM39" s="44">
        <f t="shared" si="9"/>
        <v>5.9999999999999991E-2</v>
      </c>
      <c r="CN39" s="44">
        <f t="shared" si="9"/>
        <v>5.3999999999999992E-2</v>
      </c>
      <c r="CO39" s="44">
        <f t="shared" si="9"/>
        <v>4.7999999999999994E-2</v>
      </c>
      <c r="CP39" s="44">
        <f t="shared" si="9"/>
        <v>4.1999999999999996E-2</v>
      </c>
      <c r="CQ39" s="44">
        <f t="shared" si="9"/>
        <v>3.5999999999999997E-2</v>
      </c>
      <c r="CR39" s="44">
        <f>CR38+$BL$2</f>
        <v>0.03</v>
      </c>
      <c r="CS39" s="44">
        <f>CS38+$BL$2</f>
        <v>2.4E-2</v>
      </c>
      <c r="CT39" s="44">
        <f>CT38+$BL$2</f>
        <v>1.8000000000000002E-2</v>
      </c>
      <c r="CU39" s="44">
        <f>CU38+$BL$2</f>
        <v>1.2E-2</v>
      </c>
      <c r="CV39" s="44">
        <f>CV38+$BL$2</f>
        <v>6.0000000000000001E-3</v>
      </c>
      <c r="CW39" s="43">
        <v>0</v>
      </c>
    </row>
    <row r="40" spans="1:101" x14ac:dyDescent="0.25">
      <c r="A40" s="32">
        <v>80</v>
      </c>
      <c r="AJ40" s="26" t="s">
        <v>29</v>
      </c>
      <c r="AK40" s="26" t="s">
        <v>28</v>
      </c>
      <c r="AL40" s="149" t="s">
        <v>46</v>
      </c>
      <c r="AM40" s="149"/>
      <c r="AN40" s="149"/>
      <c r="AO40" s="149"/>
      <c r="AP40" s="149"/>
      <c r="AQ40" s="149"/>
      <c r="AR40" s="149"/>
      <c r="AS40" s="149"/>
      <c r="AT40" s="149"/>
      <c r="AU40" s="149"/>
      <c r="AV40" s="149"/>
      <c r="AW40" s="149"/>
      <c r="AX40" s="149"/>
      <c r="AY40" s="149"/>
      <c r="AZ40" s="149"/>
      <c r="BA40" s="149"/>
      <c r="BB40" s="149"/>
      <c r="BC40" s="149"/>
      <c r="BD40" s="149"/>
      <c r="BE40" s="149"/>
      <c r="BF40" s="149"/>
      <c r="BG40" s="149"/>
      <c r="BH40" s="149"/>
      <c r="BI40" s="149"/>
    </row>
    <row r="41" spans="1:101" x14ac:dyDescent="0.25">
      <c r="A41" s="32">
        <v>82.5</v>
      </c>
      <c r="AJ41">
        <v>2</v>
      </c>
      <c r="AK41">
        <v>17</v>
      </c>
      <c r="AL41">
        <v>0</v>
      </c>
      <c r="AM41" s="30">
        <v>3</v>
      </c>
    </row>
    <row r="42" spans="1:101" x14ac:dyDescent="0.25">
      <c r="A42" s="32">
        <v>85</v>
      </c>
      <c r="B42" t="s">
        <v>13</v>
      </c>
      <c r="C42">
        <v>35</v>
      </c>
      <c r="D42" t="s">
        <v>15</v>
      </c>
      <c r="I42" s="28"/>
      <c r="AJ42">
        <v>4</v>
      </c>
      <c r="AK42">
        <v>17</v>
      </c>
      <c r="AL42">
        <v>3</v>
      </c>
      <c r="AM42" s="30">
        <v>6</v>
      </c>
    </row>
    <row r="43" spans="1:101" x14ac:dyDescent="0.25">
      <c r="A43" s="32">
        <v>87.5</v>
      </c>
      <c r="B43" t="s">
        <v>14</v>
      </c>
      <c r="C43">
        <v>17</v>
      </c>
      <c r="D43" t="s">
        <v>16</v>
      </c>
      <c r="AJ43">
        <v>6</v>
      </c>
      <c r="AK43">
        <v>17</v>
      </c>
      <c r="AL43">
        <v>6</v>
      </c>
      <c r="AM43" s="30">
        <v>9</v>
      </c>
    </row>
    <row r="44" spans="1:101" x14ac:dyDescent="0.25">
      <c r="A44" s="32">
        <v>90</v>
      </c>
      <c r="B44" t="s">
        <v>17</v>
      </c>
      <c r="C44">
        <v>11</v>
      </c>
      <c r="D44" t="s">
        <v>18</v>
      </c>
      <c r="AJ44">
        <v>8</v>
      </c>
      <c r="AK44">
        <v>17</v>
      </c>
      <c r="AL44">
        <v>9</v>
      </c>
      <c r="AM44" s="30">
        <v>12</v>
      </c>
    </row>
    <row r="45" spans="1:101" x14ac:dyDescent="0.25">
      <c r="A45" s="32">
        <v>92.5</v>
      </c>
      <c r="B45" t="s">
        <v>19</v>
      </c>
      <c r="C45">
        <v>8</v>
      </c>
      <c r="D45" t="s">
        <v>20</v>
      </c>
      <c r="AJ45">
        <v>10</v>
      </c>
      <c r="AK45">
        <v>17</v>
      </c>
      <c r="AL45">
        <v>12</v>
      </c>
      <c r="AM45" s="30">
        <v>15</v>
      </c>
    </row>
    <row r="46" spans="1:101" x14ac:dyDescent="0.25">
      <c r="A46" s="32">
        <v>95</v>
      </c>
      <c r="B46" t="s">
        <v>21</v>
      </c>
      <c r="C46">
        <v>5</v>
      </c>
      <c r="D46" t="s">
        <v>22</v>
      </c>
      <c r="AJ46">
        <v>12</v>
      </c>
      <c r="AK46">
        <v>17</v>
      </c>
      <c r="AL46">
        <v>15</v>
      </c>
      <c r="AM46" s="30">
        <v>18</v>
      </c>
    </row>
    <row r="47" spans="1:101" x14ac:dyDescent="0.25">
      <c r="A47" s="32">
        <v>97.5</v>
      </c>
      <c r="B47" t="s">
        <v>23</v>
      </c>
      <c r="C47">
        <v>2</v>
      </c>
      <c r="D47" t="s">
        <v>26</v>
      </c>
      <c r="AJ47">
        <v>14</v>
      </c>
      <c r="AK47">
        <v>17</v>
      </c>
      <c r="AL47">
        <v>18</v>
      </c>
      <c r="AM47" s="30">
        <v>21</v>
      </c>
    </row>
    <row r="48" spans="1:101" x14ac:dyDescent="0.25">
      <c r="A48" s="32">
        <v>100</v>
      </c>
      <c r="B48" t="s">
        <v>24</v>
      </c>
      <c r="C48">
        <v>1</v>
      </c>
      <c r="D48" t="s">
        <v>25</v>
      </c>
      <c r="AJ48">
        <v>16</v>
      </c>
      <c r="AK48">
        <v>17</v>
      </c>
      <c r="AL48">
        <v>21</v>
      </c>
      <c r="AM48" s="30">
        <v>24</v>
      </c>
    </row>
    <row r="49" spans="1:39" x14ac:dyDescent="0.25">
      <c r="A49" s="32">
        <v>102.5</v>
      </c>
      <c r="C49">
        <v>0.5</v>
      </c>
      <c r="D49" t="s">
        <v>31</v>
      </c>
      <c r="AJ49">
        <v>18</v>
      </c>
      <c r="AK49">
        <v>17</v>
      </c>
      <c r="AL49">
        <v>24</v>
      </c>
      <c r="AM49" s="30">
        <v>27</v>
      </c>
    </row>
    <row r="50" spans="1:39" x14ac:dyDescent="0.25">
      <c r="A50" s="32">
        <v>105</v>
      </c>
      <c r="AJ50">
        <v>20</v>
      </c>
      <c r="AK50">
        <v>17</v>
      </c>
      <c r="AL50">
        <v>27</v>
      </c>
      <c r="AM50" s="30">
        <v>30</v>
      </c>
    </row>
    <row r="51" spans="1:39" x14ac:dyDescent="0.25">
      <c r="A51" s="32">
        <v>107.5</v>
      </c>
      <c r="AJ51">
        <v>22</v>
      </c>
      <c r="AK51">
        <v>17</v>
      </c>
      <c r="AL51">
        <v>30</v>
      </c>
      <c r="AM51" s="30">
        <v>33</v>
      </c>
    </row>
    <row r="52" spans="1:39" x14ac:dyDescent="0.25">
      <c r="A52" s="32">
        <v>110</v>
      </c>
      <c r="AJ52">
        <v>24</v>
      </c>
      <c r="AK52">
        <v>17</v>
      </c>
      <c r="AL52">
        <v>33</v>
      </c>
      <c r="AM52" s="30">
        <v>36</v>
      </c>
    </row>
    <row r="53" spans="1:39" x14ac:dyDescent="0.25">
      <c r="A53" s="32">
        <v>112.5</v>
      </c>
      <c r="AC53" s="28"/>
      <c r="AJ53">
        <v>28</v>
      </c>
      <c r="AK53">
        <v>17</v>
      </c>
      <c r="AL53">
        <v>2</v>
      </c>
      <c r="AM53" s="30">
        <v>3</v>
      </c>
    </row>
    <row r="54" spans="1:39" x14ac:dyDescent="0.25">
      <c r="A54" s="32">
        <v>115</v>
      </c>
      <c r="AJ54">
        <v>30</v>
      </c>
      <c r="AK54">
        <v>17</v>
      </c>
      <c r="AL54">
        <v>5</v>
      </c>
      <c r="AM54" s="30">
        <v>6</v>
      </c>
    </row>
    <row r="55" spans="1:39" x14ac:dyDescent="0.25">
      <c r="A55" s="32">
        <v>117.5</v>
      </c>
      <c r="AJ55">
        <v>32</v>
      </c>
      <c r="AK55">
        <v>17</v>
      </c>
      <c r="AL55">
        <v>8</v>
      </c>
      <c r="AM55" s="30">
        <v>9</v>
      </c>
    </row>
    <row r="56" spans="1:39" x14ac:dyDescent="0.25">
      <c r="A56" s="32">
        <v>120</v>
      </c>
      <c r="AJ56">
        <v>34</v>
      </c>
      <c r="AK56">
        <v>17</v>
      </c>
      <c r="AL56">
        <v>11</v>
      </c>
      <c r="AM56" s="30">
        <v>12</v>
      </c>
    </row>
    <row r="57" spans="1:39" x14ac:dyDescent="0.25">
      <c r="A57" s="32">
        <v>122.5</v>
      </c>
      <c r="AJ57">
        <v>36</v>
      </c>
      <c r="AK57">
        <v>17</v>
      </c>
      <c r="AL57">
        <v>14</v>
      </c>
      <c r="AM57" s="30">
        <v>15</v>
      </c>
    </row>
    <row r="58" spans="1:39" x14ac:dyDescent="0.25">
      <c r="A58" s="32">
        <v>125</v>
      </c>
      <c r="AJ58">
        <v>38</v>
      </c>
      <c r="AK58">
        <v>17</v>
      </c>
      <c r="AL58">
        <v>17</v>
      </c>
      <c r="AM58" s="30">
        <v>18</v>
      </c>
    </row>
    <row r="59" spans="1:39" x14ac:dyDescent="0.25">
      <c r="A59" s="32">
        <v>127.5</v>
      </c>
      <c r="AJ59">
        <v>40</v>
      </c>
      <c r="AK59">
        <v>17</v>
      </c>
      <c r="AL59">
        <v>20</v>
      </c>
      <c r="AM59" s="30">
        <v>21</v>
      </c>
    </row>
    <row r="60" spans="1:39" x14ac:dyDescent="0.25">
      <c r="A60" s="32">
        <v>130</v>
      </c>
      <c r="G60" s="29"/>
      <c r="AJ60">
        <v>42</v>
      </c>
      <c r="AK60">
        <v>17</v>
      </c>
      <c r="AL60">
        <v>23</v>
      </c>
      <c r="AM60" s="30">
        <v>24</v>
      </c>
    </row>
    <row r="61" spans="1:39" x14ac:dyDescent="0.25">
      <c r="A61" s="32">
        <v>132.5</v>
      </c>
      <c r="AJ61">
        <v>44</v>
      </c>
      <c r="AK61">
        <v>17</v>
      </c>
      <c r="AL61">
        <v>26</v>
      </c>
      <c r="AM61" s="30">
        <v>27</v>
      </c>
    </row>
    <row r="62" spans="1:39" x14ac:dyDescent="0.25">
      <c r="A62" s="32">
        <v>135</v>
      </c>
      <c r="AJ62">
        <v>46</v>
      </c>
      <c r="AK62">
        <v>17</v>
      </c>
      <c r="AL62">
        <v>29</v>
      </c>
      <c r="AM62" s="30">
        <v>30</v>
      </c>
    </row>
    <row r="63" spans="1:39" x14ac:dyDescent="0.25">
      <c r="A63" s="32">
        <v>137.5</v>
      </c>
      <c r="AJ63">
        <v>48</v>
      </c>
      <c r="AK63">
        <v>17</v>
      </c>
      <c r="AL63">
        <v>32</v>
      </c>
      <c r="AM63" s="30">
        <v>33</v>
      </c>
    </row>
    <row r="64" spans="1:39" x14ac:dyDescent="0.25">
      <c r="A64" s="32">
        <v>140</v>
      </c>
      <c r="AJ64">
        <v>50</v>
      </c>
      <c r="AK64">
        <v>17</v>
      </c>
      <c r="AL64">
        <v>35</v>
      </c>
      <c r="AM64" s="30">
        <v>36</v>
      </c>
    </row>
    <row r="65" spans="1:39" x14ac:dyDescent="0.25">
      <c r="A65" s="32">
        <v>142.5</v>
      </c>
      <c r="AJ65">
        <v>52</v>
      </c>
      <c r="AK65">
        <v>17</v>
      </c>
      <c r="AL65">
        <v>0</v>
      </c>
      <c r="AM65" s="30">
        <v>2</v>
      </c>
    </row>
    <row r="66" spans="1:39" x14ac:dyDescent="0.25">
      <c r="A66" s="32">
        <v>145</v>
      </c>
      <c r="AJ66">
        <v>54</v>
      </c>
      <c r="AK66">
        <v>17</v>
      </c>
      <c r="AL66">
        <v>2</v>
      </c>
      <c r="AM66" s="30">
        <v>5</v>
      </c>
    </row>
    <row r="67" spans="1:39" x14ac:dyDescent="0.25">
      <c r="A67" s="32">
        <v>147.5</v>
      </c>
      <c r="AJ67">
        <v>56</v>
      </c>
      <c r="AK67">
        <v>17</v>
      </c>
      <c r="AL67">
        <v>5</v>
      </c>
      <c r="AM67" s="30">
        <v>8</v>
      </c>
    </row>
    <row r="68" spans="1:39" x14ac:dyDescent="0.25">
      <c r="A68" s="32">
        <v>150</v>
      </c>
      <c r="AJ68">
        <v>58</v>
      </c>
      <c r="AK68">
        <v>17</v>
      </c>
      <c r="AL68">
        <v>8</v>
      </c>
      <c r="AM68" s="30">
        <v>11</v>
      </c>
    </row>
    <row r="69" spans="1:39" x14ac:dyDescent="0.25">
      <c r="A69" s="32">
        <v>152.5</v>
      </c>
      <c r="AJ69">
        <v>60</v>
      </c>
      <c r="AK69">
        <v>17</v>
      </c>
      <c r="AL69">
        <v>11</v>
      </c>
      <c r="AM69" s="30">
        <v>14</v>
      </c>
    </row>
    <row r="70" spans="1:39" x14ac:dyDescent="0.25">
      <c r="A70" s="32">
        <v>155</v>
      </c>
      <c r="AJ70">
        <v>62</v>
      </c>
      <c r="AK70">
        <v>17</v>
      </c>
      <c r="AL70">
        <v>14</v>
      </c>
      <c r="AM70" s="30">
        <v>17</v>
      </c>
    </row>
    <row r="71" spans="1:39" x14ac:dyDescent="0.25">
      <c r="A71" s="32">
        <v>157.5</v>
      </c>
      <c r="AJ71">
        <v>64</v>
      </c>
      <c r="AK71">
        <v>17</v>
      </c>
      <c r="AL71">
        <v>17</v>
      </c>
      <c r="AM71" s="30">
        <v>20</v>
      </c>
    </row>
    <row r="72" spans="1:39" x14ac:dyDescent="0.25">
      <c r="A72" s="32">
        <v>160</v>
      </c>
      <c r="AJ72">
        <v>66</v>
      </c>
      <c r="AK72">
        <v>17</v>
      </c>
      <c r="AL72">
        <v>20</v>
      </c>
      <c r="AM72" s="30">
        <v>23</v>
      </c>
    </row>
    <row r="73" spans="1:39" x14ac:dyDescent="0.25">
      <c r="A73" s="32">
        <v>162.5</v>
      </c>
      <c r="AJ73">
        <v>68</v>
      </c>
      <c r="AK73">
        <v>17</v>
      </c>
      <c r="AL73">
        <v>23</v>
      </c>
      <c r="AM73" s="30">
        <v>26</v>
      </c>
    </row>
    <row r="74" spans="1:39" x14ac:dyDescent="0.25">
      <c r="A74" s="32">
        <v>165</v>
      </c>
      <c r="AJ74">
        <v>70</v>
      </c>
      <c r="AK74">
        <v>17</v>
      </c>
      <c r="AL74">
        <v>26</v>
      </c>
      <c r="AM74" s="30">
        <v>29</v>
      </c>
    </row>
    <row r="75" spans="1:39" x14ac:dyDescent="0.25">
      <c r="A75" s="32">
        <v>167.5</v>
      </c>
      <c r="AJ75">
        <v>72</v>
      </c>
      <c r="AK75">
        <v>17</v>
      </c>
      <c r="AL75">
        <v>29</v>
      </c>
      <c r="AM75" s="30">
        <v>32</v>
      </c>
    </row>
    <row r="76" spans="1:39" x14ac:dyDescent="0.25">
      <c r="A76" s="32">
        <v>170</v>
      </c>
      <c r="AJ76">
        <v>74</v>
      </c>
      <c r="AK76">
        <v>17</v>
      </c>
      <c r="AL76">
        <v>32</v>
      </c>
      <c r="AM76" s="30">
        <v>35</v>
      </c>
    </row>
    <row r="77" spans="1:39" x14ac:dyDescent="0.25">
      <c r="A77" s="32">
        <v>172.5</v>
      </c>
      <c r="AJ77">
        <v>78</v>
      </c>
      <c r="AK77">
        <v>17</v>
      </c>
      <c r="AL77">
        <v>1</v>
      </c>
      <c r="AM77" s="30">
        <v>2</v>
      </c>
    </row>
    <row r="78" spans="1:39" x14ac:dyDescent="0.25">
      <c r="A78" s="32">
        <v>175</v>
      </c>
      <c r="AJ78">
        <v>80</v>
      </c>
      <c r="AK78">
        <v>17</v>
      </c>
      <c r="AL78">
        <v>4</v>
      </c>
      <c r="AM78" s="30">
        <v>5</v>
      </c>
    </row>
    <row r="79" spans="1:39" x14ac:dyDescent="0.25">
      <c r="A79" s="32">
        <v>177.5</v>
      </c>
      <c r="AJ79">
        <v>82</v>
      </c>
      <c r="AK79">
        <v>17</v>
      </c>
      <c r="AL79">
        <v>7</v>
      </c>
      <c r="AM79" s="30">
        <v>8</v>
      </c>
    </row>
    <row r="80" spans="1:39" x14ac:dyDescent="0.25">
      <c r="A80" s="32">
        <v>180</v>
      </c>
      <c r="AJ80">
        <v>84</v>
      </c>
      <c r="AK80">
        <v>17</v>
      </c>
      <c r="AL80">
        <v>10</v>
      </c>
      <c r="AM80" s="30">
        <v>11</v>
      </c>
    </row>
    <row r="81" spans="1:39" x14ac:dyDescent="0.25">
      <c r="A81" s="32">
        <v>182.5</v>
      </c>
      <c r="AJ81">
        <v>86</v>
      </c>
      <c r="AK81">
        <v>17</v>
      </c>
      <c r="AL81">
        <v>13</v>
      </c>
      <c r="AM81" s="30">
        <v>14</v>
      </c>
    </row>
    <row r="82" spans="1:39" x14ac:dyDescent="0.25">
      <c r="A82" s="32">
        <v>185</v>
      </c>
      <c r="AJ82">
        <v>88</v>
      </c>
      <c r="AK82">
        <v>17</v>
      </c>
      <c r="AL82">
        <v>16</v>
      </c>
      <c r="AM82" s="30">
        <v>17</v>
      </c>
    </row>
    <row r="83" spans="1:39" x14ac:dyDescent="0.25">
      <c r="A83" s="32">
        <v>187.5</v>
      </c>
      <c r="AJ83">
        <v>90</v>
      </c>
      <c r="AK83">
        <v>17</v>
      </c>
      <c r="AL83">
        <v>19</v>
      </c>
      <c r="AM83" s="30">
        <v>20</v>
      </c>
    </row>
    <row r="84" spans="1:39" x14ac:dyDescent="0.25">
      <c r="A84" s="32">
        <v>190</v>
      </c>
      <c r="AJ84">
        <v>92</v>
      </c>
      <c r="AK84">
        <v>17</v>
      </c>
      <c r="AL84">
        <v>22</v>
      </c>
      <c r="AM84" s="30">
        <v>23</v>
      </c>
    </row>
    <row r="85" spans="1:39" x14ac:dyDescent="0.25">
      <c r="A85" s="32">
        <v>192.5</v>
      </c>
      <c r="AJ85">
        <v>94</v>
      </c>
      <c r="AK85">
        <v>17</v>
      </c>
      <c r="AL85">
        <v>25</v>
      </c>
      <c r="AM85" s="30">
        <v>26</v>
      </c>
    </row>
    <row r="86" spans="1:39" x14ac:dyDescent="0.25">
      <c r="A86" s="32">
        <v>195</v>
      </c>
      <c r="AJ86">
        <v>96</v>
      </c>
      <c r="AK86">
        <v>17</v>
      </c>
      <c r="AL86">
        <v>28</v>
      </c>
      <c r="AM86" s="30">
        <v>29</v>
      </c>
    </row>
    <row r="87" spans="1:39" x14ac:dyDescent="0.25">
      <c r="A87" s="32">
        <v>197.5</v>
      </c>
      <c r="AJ87">
        <v>98</v>
      </c>
      <c r="AK87">
        <v>17</v>
      </c>
      <c r="AL87">
        <v>31</v>
      </c>
      <c r="AM87" s="30">
        <v>32</v>
      </c>
    </row>
    <row r="88" spans="1:39" x14ac:dyDescent="0.25">
      <c r="A88" s="32">
        <v>200</v>
      </c>
      <c r="AJ88">
        <v>100</v>
      </c>
      <c r="AK88">
        <v>17</v>
      </c>
      <c r="AL88">
        <v>34</v>
      </c>
      <c r="AM88" s="30">
        <v>35</v>
      </c>
    </row>
    <row r="89" spans="1:39" x14ac:dyDescent="0.25">
      <c r="A89" s="32">
        <v>202.5</v>
      </c>
      <c r="AJ89">
        <v>102</v>
      </c>
      <c r="AK89">
        <v>17</v>
      </c>
      <c r="AL89">
        <v>0</v>
      </c>
      <c r="AM89" s="30">
        <v>1</v>
      </c>
    </row>
    <row r="90" spans="1:39" x14ac:dyDescent="0.25">
      <c r="A90" s="32">
        <v>205</v>
      </c>
      <c r="AJ90">
        <v>104</v>
      </c>
      <c r="AK90">
        <v>17</v>
      </c>
      <c r="AL90">
        <v>1</v>
      </c>
      <c r="AM90" s="30">
        <v>4</v>
      </c>
    </row>
    <row r="91" spans="1:39" x14ac:dyDescent="0.25">
      <c r="A91" s="32">
        <v>207.5</v>
      </c>
      <c r="AJ91">
        <v>106</v>
      </c>
      <c r="AK91">
        <v>17</v>
      </c>
      <c r="AL91">
        <v>4</v>
      </c>
      <c r="AM91" s="30">
        <v>7</v>
      </c>
    </row>
    <row r="92" spans="1:39" x14ac:dyDescent="0.25">
      <c r="A92" s="32">
        <v>210</v>
      </c>
      <c r="AJ92">
        <v>108</v>
      </c>
      <c r="AK92">
        <v>17</v>
      </c>
      <c r="AL92">
        <v>7</v>
      </c>
      <c r="AM92" s="30">
        <v>10</v>
      </c>
    </row>
    <row r="93" spans="1:39" x14ac:dyDescent="0.25">
      <c r="A93" s="32">
        <v>212.5</v>
      </c>
      <c r="AJ93">
        <v>110</v>
      </c>
      <c r="AK93">
        <v>17</v>
      </c>
      <c r="AL93">
        <v>10</v>
      </c>
      <c r="AM93" s="30">
        <v>13</v>
      </c>
    </row>
    <row r="94" spans="1:39" x14ac:dyDescent="0.25">
      <c r="A94" s="32">
        <v>215</v>
      </c>
      <c r="AJ94">
        <v>112</v>
      </c>
      <c r="AK94">
        <v>17</v>
      </c>
      <c r="AL94">
        <v>13</v>
      </c>
      <c r="AM94" s="30">
        <v>16</v>
      </c>
    </row>
    <row r="95" spans="1:39" x14ac:dyDescent="0.25">
      <c r="A95" s="32">
        <v>217.5</v>
      </c>
      <c r="AJ95">
        <v>114</v>
      </c>
      <c r="AK95">
        <v>17</v>
      </c>
      <c r="AL95">
        <v>16</v>
      </c>
      <c r="AM95" s="30">
        <v>19</v>
      </c>
    </row>
    <row r="96" spans="1:39" x14ac:dyDescent="0.25">
      <c r="A96" s="32">
        <v>220</v>
      </c>
      <c r="AJ96">
        <v>116</v>
      </c>
      <c r="AK96">
        <v>17</v>
      </c>
      <c r="AL96">
        <v>19</v>
      </c>
      <c r="AM96" s="30">
        <v>22</v>
      </c>
    </row>
    <row r="97" spans="1:61" x14ac:dyDescent="0.25">
      <c r="A97" s="32">
        <v>222.5</v>
      </c>
      <c r="AJ97">
        <v>118</v>
      </c>
      <c r="AK97">
        <v>17</v>
      </c>
      <c r="AL97">
        <v>22</v>
      </c>
      <c r="AM97" s="30">
        <v>25</v>
      </c>
    </row>
    <row r="98" spans="1:61" x14ac:dyDescent="0.25">
      <c r="A98" s="32">
        <v>225</v>
      </c>
      <c r="AJ98">
        <v>120</v>
      </c>
      <c r="AK98">
        <v>17</v>
      </c>
      <c r="AL98">
        <v>25</v>
      </c>
      <c r="AM98" s="30">
        <v>28</v>
      </c>
    </row>
    <row r="99" spans="1:61" x14ac:dyDescent="0.25">
      <c r="A99" s="32">
        <v>227.5</v>
      </c>
      <c r="AJ99">
        <v>122</v>
      </c>
      <c r="AK99">
        <v>17</v>
      </c>
      <c r="AL99">
        <v>28</v>
      </c>
      <c r="AM99" s="30">
        <v>31</v>
      </c>
    </row>
    <row r="100" spans="1:61" x14ac:dyDescent="0.25">
      <c r="A100" s="32">
        <v>230</v>
      </c>
      <c r="AJ100">
        <v>124</v>
      </c>
      <c r="AK100">
        <v>17</v>
      </c>
      <c r="AL100">
        <v>31</v>
      </c>
      <c r="AM100" s="30">
        <v>34</v>
      </c>
    </row>
    <row r="101" spans="1:61" x14ac:dyDescent="0.25">
      <c r="A101" s="32">
        <v>232.5</v>
      </c>
      <c r="AM101" s="30"/>
    </row>
    <row r="102" spans="1:61" x14ac:dyDescent="0.25">
      <c r="A102" s="32">
        <v>235</v>
      </c>
      <c r="AJ102" s="26" t="s">
        <v>29</v>
      </c>
      <c r="AK102" s="26" t="s">
        <v>28</v>
      </c>
      <c r="AL102" s="149" t="s">
        <v>47</v>
      </c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  <c r="BB102" s="149"/>
      <c r="BC102" s="149"/>
      <c r="BD102" s="149"/>
      <c r="BE102" s="149"/>
      <c r="BF102" s="149"/>
      <c r="BG102" s="149"/>
      <c r="BH102" s="149"/>
      <c r="BI102" s="149"/>
    </row>
    <row r="103" spans="1:61" x14ac:dyDescent="0.25">
      <c r="A103" s="32">
        <v>237.5</v>
      </c>
      <c r="AJ103">
        <v>27</v>
      </c>
      <c r="AK103">
        <v>11</v>
      </c>
      <c r="AL103">
        <v>0</v>
      </c>
      <c r="AM103">
        <v>2</v>
      </c>
      <c r="AN103" s="30">
        <v>3</v>
      </c>
    </row>
    <row r="104" spans="1:61" x14ac:dyDescent="0.25">
      <c r="A104" s="32">
        <v>240</v>
      </c>
      <c r="AJ104">
        <v>77</v>
      </c>
      <c r="AK104">
        <v>11</v>
      </c>
      <c r="AL104">
        <v>0</v>
      </c>
      <c r="AM104">
        <v>1</v>
      </c>
      <c r="AN104" s="30">
        <v>2</v>
      </c>
    </row>
    <row r="105" spans="1:61" x14ac:dyDescent="0.25">
      <c r="A105" s="32">
        <v>242.5</v>
      </c>
      <c r="AJ105">
        <v>128</v>
      </c>
      <c r="AK105">
        <v>11</v>
      </c>
      <c r="AL105">
        <v>1</v>
      </c>
      <c r="AM105">
        <v>2</v>
      </c>
      <c r="AN105" s="30">
        <v>3</v>
      </c>
    </row>
    <row r="106" spans="1:61" x14ac:dyDescent="0.25">
      <c r="A106" s="32">
        <v>245</v>
      </c>
      <c r="AJ106">
        <v>130</v>
      </c>
      <c r="AK106">
        <v>11</v>
      </c>
      <c r="AL106">
        <v>4</v>
      </c>
      <c r="AM106">
        <v>5</v>
      </c>
      <c r="AN106" s="30">
        <v>6</v>
      </c>
    </row>
    <row r="107" spans="1:61" x14ac:dyDescent="0.25">
      <c r="A107" s="32">
        <v>247.5</v>
      </c>
      <c r="AJ107">
        <v>132</v>
      </c>
      <c r="AK107">
        <v>11</v>
      </c>
      <c r="AL107">
        <v>7</v>
      </c>
      <c r="AM107">
        <v>8</v>
      </c>
      <c r="AN107" s="30">
        <v>9</v>
      </c>
    </row>
    <row r="108" spans="1:61" x14ac:dyDescent="0.25">
      <c r="A108" s="32">
        <v>250</v>
      </c>
      <c r="AJ108">
        <v>134</v>
      </c>
      <c r="AK108">
        <v>11</v>
      </c>
      <c r="AL108">
        <v>10</v>
      </c>
      <c r="AM108">
        <v>11</v>
      </c>
      <c r="AN108" s="30">
        <v>12</v>
      </c>
    </row>
    <row r="109" spans="1:61" x14ac:dyDescent="0.25">
      <c r="A109" s="32">
        <v>252.5</v>
      </c>
      <c r="AJ109">
        <v>136</v>
      </c>
      <c r="AK109">
        <v>11</v>
      </c>
      <c r="AL109">
        <v>13</v>
      </c>
      <c r="AM109">
        <v>14</v>
      </c>
      <c r="AN109" s="30">
        <v>15</v>
      </c>
    </row>
    <row r="110" spans="1:61" x14ac:dyDescent="0.25">
      <c r="A110" s="32">
        <v>255</v>
      </c>
      <c r="AJ110">
        <v>138</v>
      </c>
      <c r="AK110">
        <v>11</v>
      </c>
      <c r="AL110">
        <v>16</v>
      </c>
      <c r="AM110">
        <v>17</v>
      </c>
      <c r="AN110" s="30">
        <v>18</v>
      </c>
    </row>
    <row r="111" spans="1:61" x14ac:dyDescent="0.25">
      <c r="A111" s="32">
        <v>257.5</v>
      </c>
      <c r="AJ111">
        <v>140</v>
      </c>
      <c r="AK111">
        <v>11</v>
      </c>
      <c r="AL111">
        <v>19</v>
      </c>
      <c r="AM111">
        <v>20</v>
      </c>
      <c r="AN111" s="30">
        <v>21</v>
      </c>
    </row>
    <row r="112" spans="1:61" x14ac:dyDescent="0.25">
      <c r="A112" s="32">
        <v>260</v>
      </c>
      <c r="AJ112">
        <v>142</v>
      </c>
      <c r="AK112">
        <v>11</v>
      </c>
      <c r="AL112">
        <v>22</v>
      </c>
      <c r="AM112">
        <v>23</v>
      </c>
      <c r="AN112" s="30">
        <v>24</v>
      </c>
    </row>
    <row r="113" spans="1:61" x14ac:dyDescent="0.25">
      <c r="A113" s="32">
        <v>262.5</v>
      </c>
      <c r="AJ113">
        <v>144</v>
      </c>
      <c r="AK113">
        <v>11</v>
      </c>
      <c r="AL113">
        <v>25</v>
      </c>
      <c r="AM113">
        <v>26</v>
      </c>
      <c r="AN113" s="30">
        <v>27</v>
      </c>
    </row>
    <row r="114" spans="1:61" x14ac:dyDescent="0.25">
      <c r="A114" s="32">
        <v>265</v>
      </c>
      <c r="AJ114">
        <v>146</v>
      </c>
      <c r="AK114">
        <v>11</v>
      </c>
      <c r="AL114">
        <v>28</v>
      </c>
      <c r="AM114">
        <v>29</v>
      </c>
      <c r="AN114" s="30">
        <v>30</v>
      </c>
    </row>
    <row r="115" spans="1:61" x14ac:dyDescent="0.25">
      <c r="A115" s="32">
        <v>267.5</v>
      </c>
      <c r="AJ115">
        <v>148</v>
      </c>
      <c r="AK115">
        <v>11</v>
      </c>
      <c r="AL115">
        <v>31</v>
      </c>
      <c r="AM115">
        <v>32</v>
      </c>
      <c r="AN115" s="30">
        <v>33</v>
      </c>
    </row>
    <row r="116" spans="1:61" x14ac:dyDescent="0.25">
      <c r="A116" s="32">
        <v>270</v>
      </c>
      <c r="AJ116">
        <v>150</v>
      </c>
      <c r="AK116">
        <v>11</v>
      </c>
      <c r="AL116">
        <v>34</v>
      </c>
      <c r="AM116">
        <v>35</v>
      </c>
      <c r="AN116" s="30">
        <v>36</v>
      </c>
    </row>
    <row r="117" spans="1:61" x14ac:dyDescent="0.25">
      <c r="A117" s="32">
        <v>272.5</v>
      </c>
    </row>
    <row r="118" spans="1:61" x14ac:dyDescent="0.25">
      <c r="A118" s="32">
        <v>275</v>
      </c>
      <c r="AJ118" s="26" t="s">
        <v>29</v>
      </c>
      <c r="AK118" s="26" t="s">
        <v>28</v>
      </c>
      <c r="AL118" s="149" t="s">
        <v>48</v>
      </c>
      <c r="AM118" s="149"/>
      <c r="AN118" s="149"/>
      <c r="AO118" s="149"/>
      <c r="AP118" s="149"/>
      <c r="AQ118" s="149"/>
      <c r="AR118" s="149"/>
      <c r="AS118" s="149"/>
      <c r="AT118" s="149"/>
      <c r="AU118" s="149"/>
      <c r="AV118" s="149"/>
      <c r="AW118" s="149"/>
      <c r="AX118" s="149"/>
      <c r="AY118" s="149"/>
      <c r="AZ118" s="149"/>
      <c r="BA118" s="149"/>
      <c r="BB118" s="149"/>
      <c r="BC118" s="149"/>
      <c r="BD118" s="149"/>
      <c r="BE118" s="149"/>
      <c r="BF118" s="149"/>
      <c r="BG118" s="149"/>
      <c r="BH118" s="149"/>
      <c r="BI118" s="149"/>
    </row>
    <row r="119" spans="1:61" x14ac:dyDescent="0.25">
      <c r="A119" s="32">
        <v>277.5</v>
      </c>
      <c r="AJ119">
        <v>29</v>
      </c>
      <c r="AK119">
        <v>8</v>
      </c>
      <c r="AL119">
        <v>2</v>
      </c>
      <c r="AM119">
        <v>3</v>
      </c>
      <c r="AN119">
        <v>5</v>
      </c>
      <c r="AO119" s="30">
        <v>6</v>
      </c>
    </row>
    <row r="120" spans="1:61" x14ac:dyDescent="0.25">
      <c r="A120" s="32">
        <v>280</v>
      </c>
      <c r="AJ120">
        <v>31</v>
      </c>
      <c r="AK120">
        <v>8</v>
      </c>
      <c r="AL120">
        <v>5</v>
      </c>
      <c r="AM120">
        <v>6</v>
      </c>
      <c r="AN120">
        <v>8</v>
      </c>
      <c r="AO120" s="30">
        <v>9</v>
      </c>
    </row>
    <row r="121" spans="1:61" x14ac:dyDescent="0.25">
      <c r="A121" s="32">
        <v>282.5</v>
      </c>
      <c r="AJ121">
        <v>33</v>
      </c>
      <c r="AK121">
        <v>8</v>
      </c>
      <c r="AL121">
        <v>8</v>
      </c>
      <c r="AM121">
        <v>9</v>
      </c>
      <c r="AN121">
        <v>11</v>
      </c>
      <c r="AO121" s="30">
        <v>12</v>
      </c>
    </row>
    <row r="122" spans="1:61" x14ac:dyDescent="0.25">
      <c r="A122" s="32">
        <v>285</v>
      </c>
      <c r="AJ122">
        <v>35</v>
      </c>
      <c r="AK122">
        <v>8</v>
      </c>
      <c r="AL122">
        <v>11</v>
      </c>
      <c r="AM122">
        <v>12</v>
      </c>
      <c r="AN122">
        <v>14</v>
      </c>
      <c r="AO122" s="30">
        <v>15</v>
      </c>
    </row>
    <row r="123" spans="1:61" x14ac:dyDescent="0.25">
      <c r="A123" s="32">
        <v>287.5</v>
      </c>
      <c r="AJ123">
        <v>37</v>
      </c>
      <c r="AK123">
        <v>8</v>
      </c>
      <c r="AL123">
        <v>14</v>
      </c>
      <c r="AM123">
        <v>15</v>
      </c>
      <c r="AN123">
        <v>17</v>
      </c>
      <c r="AO123" s="30">
        <v>18</v>
      </c>
    </row>
    <row r="124" spans="1:61" x14ac:dyDescent="0.25">
      <c r="A124" s="32">
        <v>290</v>
      </c>
      <c r="AJ124">
        <v>39</v>
      </c>
      <c r="AK124">
        <v>8</v>
      </c>
      <c r="AL124">
        <v>17</v>
      </c>
      <c r="AM124">
        <v>18</v>
      </c>
      <c r="AN124">
        <v>20</v>
      </c>
      <c r="AO124" s="30">
        <v>21</v>
      </c>
    </row>
    <row r="125" spans="1:61" x14ac:dyDescent="0.25">
      <c r="A125" s="32">
        <v>292.5</v>
      </c>
      <c r="AJ125">
        <v>41</v>
      </c>
      <c r="AK125">
        <v>8</v>
      </c>
      <c r="AL125">
        <v>20</v>
      </c>
      <c r="AM125">
        <v>21</v>
      </c>
      <c r="AN125">
        <v>23</v>
      </c>
      <c r="AO125" s="30">
        <v>24</v>
      </c>
    </row>
    <row r="126" spans="1:61" x14ac:dyDescent="0.25">
      <c r="A126" s="32">
        <v>295</v>
      </c>
      <c r="AJ126">
        <v>43</v>
      </c>
      <c r="AK126">
        <v>8</v>
      </c>
      <c r="AL126">
        <v>23</v>
      </c>
      <c r="AM126">
        <v>24</v>
      </c>
      <c r="AN126">
        <v>26</v>
      </c>
      <c r="AO126" s="30">
        <v>27</v>
      </c>
    </row>
    <row r="127" spans="1:61" x14ac:dyDescent="0.25">
      <c r="A127" s="32">
        <v>297.5</v>
      </c>
      <c r="AJ127">
        <v>45</v>
      </c>
      <c r="AK127">
        <v>8</v>
      </c>
      <c r="AL127">
        <v>26</v>
      </c>
      <c r="AM127">
        <v>27</v>
      </c>
      <c r="AN127">
        <v>29</v>
      </c>
      <c r="AO127" s="30">
        <v>30</v>
      </c>
    </row>
    <row r="128" spans="1:61" x14ac:dyDescent="0.25">
      <c r="A128" s="32">
        <v>300</v>
      </c>
      <c r="AJ128">
        <v>47</v>
      </c>
      <c r="AK128">
        <v>8</v>
      </c>
      <c r="AL128">
        <v>29</v>
      </c>
      <c r="AM128">
        <v>30</v>
      </c>
      <c r="AN128">
        <v>32</v>
      </c>
      <c r="AO128" s="30">
        <v>33</v>
      </c>
    </row>
    <row r="129" spans="1:61" x14ac:dyDescent="0.25">
      <c r="A129" s="32">
        <v>302.5</v>
      </c>
      <c r="AJ129">
        <v>49</v>
      </c>
      <c r="AK129">
        <v>8</v>
      </c>
      <c r="AL129">
        <v>32</v>
      </c>
      <c r="AM129">
        <v>33</v>
      </c>
      <c r="AN129">
        <v>35</v>
      </c>
      <c r="AO129" s="30">
        <v>36</v>
      </c>
    </row>
    <row r="130" spans="1:61" x14ac:dyDescent="0.25">
      <c r="A130" s="32">
        <v>305</v>
      </c>
      <c r="AJ130">
        <v>79</v>
      </c>
      <c r="AK130">
        <v>8</v>
      </c>
      <c r="AL130">
        <v>1</v>
      </c>
      <c r="AM130">
        <v>2</v>
      </c>
      <c r="AN130">
        <v>4</v>
      </c>
      <c r="AO130" s="30">
        <v>5</v>
      </c>
    </row>
    <row r="131" spans="1:61" x14ac:dyDescent="0.25">
      <c r="A131" s="32">
        <v>307.5</v>
      </c>
      <c r="AJ131">
        <v>81</v>
      </c>
      <c r="AK131">
        <v>8</v>
      </c>
      <c r="AL131">
        <v>4</v>
      </c>
      <c r="AM131">
        <v>5</v>
      </c>
      <c r="AN131">
        <v>7</v>
      </c>
      <c r="AO131" s="30">
        <v>8</v>
      </c>
    </row>
    <row r="132" spans="1:61" x14ac:dyDescent="0.25">
      <c r="A132" s="32">
        <v>310</v>
      </c>
      <c r="AJ132">
        <v>83</v>
      </c>
      <c r="AK132">
        <v>8</v>
      </c>
      <c r="AL132">
        <v>7</v>
      </c>
      <c r="AM132">
        <v>8</v>
      </c>
      <c r="AN132">
        <v>10</v>
      </c>
      <c r="AO132" s="30">
        <v>11</v>
      </c>
    </row>
    <row r="133" spans="1:61" x14ac:dyDescent="0.25">
      <c r="A133" s="32">
        <v>312.5</v>
      </c>
      <c r="AJ133">
        <v>85</v>
      </c>
      <c r="AK133">
        <v>8</v>
      </c>
      <c r="AL133">
        <v>10</v>
      </c>
      <c r="AM133">
        <v>11</v>
      </c>
      <c r="AN133">
        <v>13</v>
      </c>
      <c r="AO133" s="30">
        <v>14</v>
      </c>
    </row>
    <row r="134" spans="1:61" x14ac:dyDescent="0.25">
      <c r="A134" s="32">
        <v>315</v>
      </c>
      <c r="AJ134">
        <v>87</v>
      </c>
      <c r="AK134">
        <v>8</v>
      </c>
      <c r="AL134">
        <v>13</v>
      </c>
      <c r="AM134">
        <v>14</v>
      </c>
      <c r="AN134">
        <v>16</v>
      </c>
      <c r="AO134" s="30">
        <v>17</v>
      </c>
    </row>
    <row r="135" spans="1:61" x14ac:dyDescent="0.25">
      <c r="A135" s="32">
        <v>317.5</v>
      </c>
      <c r="AJ135">
        <v>89</v>
      </c>
      <c r="AK135">
        <v>8</v>
      </c>
      <c r="AL135">
        <v>16</v>
      </c>
      <c r="AM135">
        <v>17</v>
      </c>
      <c r="AN135">
        <v>19</v>
      </c>
      <c r="AO135" s="30">
        <v>20</v>
      </c>
    </row>
    <row r="136" spans="1:61" x14ac:dyDescent="0.25">
      <c r="A136" s="32">
        <v>320</v>
      </c>
      <c r="AJ136">
        <v>91</v>
      </c>
      <c r="AK136">
        <v>8</v>
      </c>
      <c r="AL136">
        <v>19</v>
      </c>
      <c r="AM136">
        <v>20</v>
      </c>
      <c r="AN136">
        <v>22</v>
      </c>
      <c r="AO136" s="30">
        <v>23</v>
      </c>
    </row>
    <row r="137" spans="1:61" x14ac:dyDescent="0.25">
      <c r="A137" s="32">
        <v>322.5</v>
      </c>
      <c r="AJ137">
        <v>93</v>
      </c>
      <c r="AK137">
        <v>8</v>
      </c>
      <c r="AL137">
        <v>22</v>
      </c>
      <c r="AM137">
        <v>23</v>
      </c>
      <c r="AN137">
        <v>25</v>
      </c>
      <c r="AO137" s="30">
        <v>26</v>
      </c>
    </row>
    <row r="138" spans="1:61" x14ac:dyDescent="0.25">
      <c r="A138" s="32">
        <v>325</v>
      </c>
      <c r="AJ138">
        <v>95</v>
      </c>
      <c r="AK138">
        <v>8</v>
      </c>
      <c r="AL138">
        <v>25</v>
      </c>
      <c r="AM138">
        <v>26</v>
      </c>
      <c r="AN138">
        <v>28</v>
      </c>
      <c r="AO138" s="30">
        <v>29</v>
      </c>
    </row>
    <row r="139" spans="1:61" x14ac:dyDescent="0.25">
      <c r="A139" s="32">
        <v>327.5</v>
      </c>
      <c r="AJ139">
        <v>97</v>
      </c>
      <c r="AK139">
        <v>8</v>
      </c>
      <c r="AL139">
        <v>28</v>
      </c>
      <c r="AM139">
        <v>29</v>
      </c>
      <c r="AN139">
        <v>31</v>
      </c>
      <c r="AO139" s="30">
        <v>32</v>
      </c>
    </row>
    <row r="140" spans="1:61" x14ac:dyDescent="0.25">
      <c r="A140" s="32">
        <v>330</v>
      </c>
      <c r="AJ140">
        <v>99</v>
      </c>
      <c r="AK140" s="30">
        <v>8</v>
      </c>
      <c r="AL140">
        <v>31</v>
      </c>
      <c r="AM140">
        <v>32</v>
      </c>
      <c r="AN140">
        <v>34</v>
      </c>
      <c r="AO140" s="30">
        <v>35</v>
      </c>
    </row>
    <row r="141" spans="1:61" x14ac:dyDescent="0.25">
      <c r="A141" s="32">
        <v>332.5</v>
      </c>
      <c r="AJ141">
        <v>127</v>
      </c>
      <c r="AK141">
        <v>8</v>
      </c>
      <c r="AL141">
        <v>0</v>
      </c>
      <c r="AM141">
        <v>1</v>
      </c>
      <c r="AN141">
        <v>2</v>
      </c>
      <c r="AO141" s="30">
        <v>3</v>
      </c>
    </row>
    <row r="142" spans="1:61" x14ac:dyDescent="0.25">
      <c r="A142" s="32">
        <v>335</v>
      </c>
    </row>
    <row r="143" spans="1:61" x14ac:dyDescent="0.25">
      <c r="A143" s="32">
        <v>337.5</v>
      </c>
      <c r="AJ143" s="26" t="s">
        <v>29</v>
      </c>
      <c r="AK143" s="26" t="s">
        <v>28</v>
      </c>
      <c r="AL143" s="149" t="s">
        <v>49</v>
      </c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  <c r="BH143" s="149"/>
      <c r="BI143" s="149"/>
    </row>
    <row r="144" spans="1:61" x14ac:dyDescent="0.25">
      <c r="A144" s="32">
        <v>340</v>
      </c>
      <c r="AJ144">
        <v>129</v>
      </c>
      <c r="AK144">
        <v>5</v>
      </c>
      <c r="AL144">
        <v>1</v>
      </c>
      <c r="AM144">
        <v>2</v>
      </c>
      <c r="AN144">
        <v>3</v>
      </c>
      <c r="AO144">
        <v>4</v>
      </c>
      <c r="AP144">
        <v>5</v>
      </c>
      <c r="AQ144" s="30">
        <v>6</v>
      </c>
    </row>
    <row r="145" spans="1:61" x14ac:dyDescent="0.25">
      <c r="A145" s="32">
        <v>342.5</v>
      </c>
      <c r="AJ145">
        <v>131</v>
      </c>
      <c r="AK145">
        <v>5</v>
      </c>
      <c r="AL145">
        <v>4</v>
      </c>
      <c r="AM145">
        <v>5</v>
      </c>
      <c r="AN145">
        <v>6</v>
      </c>
      <c r="AO145">
        <v>7</v>
      </c>
      <c r="AP145">
        <v>8</v>
      </c>
      <c r="AQ145" s="30">
        <v>9</v>
      </c>
    </row>
    <row r="146" spans="1:61" x14ac:dyDescent="0.25">
      <c r="A146" s="32">
        <v>345</v>
      </c>
      <c r="AJ146">
        <v>133</v>
      </c>
      <c r="AK146">
        <v>5</v>
      </c>
      <c r="AL146">
        <v>7</v>
      </c>
      <c r="AM146">
        <v>8</v>
      </c>
      <c r="AN146">
        <v>9</v>
      </c>
      <c r="AO146">
        <v>10</v>
      </c>
      <c r="AP146">
        <v>11</v>
      </c>
      <c r="AQ146" s="30">
        <v>12</v>
      </c>
    </row>
    <row r="147" spans="1:61" x14ac:dyDescent="0.25">
      <c r="A147" s="32">
        <v>347.5</v>
      </c>
      <c r="AJ147">
        <v>135</v>
      </c>
      <c r="AK147">
        <v>5</v>
      </c>
      <c r="AL147">
        <v>10</v>
      </c>
      <c r="AM147">
        <v>11</v>
      </c>
      <c r="AN147">
        <v>12</v>
      </c>
      <c r="AO147">
        <v>13</v>
      </c>
      <c r="AP147">
        <v>14</v>
      </c>
      <c r="AQ147" s="30">
        <v>15</v>
      </c>
    </row>
    <row r="148" spans="1:61" x14ac:dyDescent="0.25">
      <c r="A148" s="32">
        <v>350</v>
      </c>
      <c r="AJ148">
        <v>137</v>
      </c>
      <c r="AK148">
        <v>5</v>
      </c>
      <c r="AL148">
        <v>13</v>
      </c>
      <c r="AM148">
        <v>14</v>
      </c>
      <c r="AN148">
        <v>15</v>
      </c>
      <c r="AO148">
        <v>16</v>
      </c>
      <c r="AP148">
        <v>17</v>
      </c>
      <c r="AQ148" s="30">
        <v>18</v>
      </c>
    </row>
    <row r="149" spans="1:61" x14ac:dyDescent="0.25">
      <c r="A149" s="32">
        <v>352.5</v>
      </c>
      <c r="AJ149">
        <v>139</v>
      </c>
      <c r="AK149">
        <v>5</v>
      </c>
      <c r="AL149">
        <v>16</v>
      </c>
      <c r="AM149">
        <v>17</v>
      </c>
      <c r="AN149">
        <v>18</v>
      </c>
      <c r="AO149">
        <v>19</v>
      </c>
      <c r="AP149">
        <v>20</v>
      </c>
      <c r="AQ149" s="30">
        <v>21</v>
      </c>
    </row>
    <row r="150" spans="1:61" x14ac:dyDescent="0.25">
      <c r="A150" s="32">
        <v>355</v>
      </c>
      <c r="AJ150">
        <v>141</v>
      </c>
      <c r="AK150">
        <v>5</v>
      </c>
      <c r="AL150">
        <v>19</v>
      </c>
      <c r="AM150">
        <v>20</v>
      </c>
      <c r="AN150">
        <v>21</v>
      </c>
      <c r="AO150">
        <v>22</v>
      </c>
      <c r="AP150">
        <v>23</v>
      </c>
      <c r="AQ150" s="30">
        <v>24</v>
      </c>
    </row>
    <row r="151" spans="1:61" x14ac:dyDescent="0.25">
      <c r="A151" s="32">
        <v>357.5</v>
      </c>
      <c r="AJ151">
        <v>143</v>
      </c>
      <c r="AK151">
        <v>5</v>
      </c>
      <c r="AL151">
        <v>22</v>
      </c>
      <c r="AM151">
        <v>23</v>
      </c>
      <c r="AN151">
        <v>24</v>
      </c>
      <c r="AO151">
        <v>25</v>
      </c>
      <c r="AP151">
        <v>26</v>
      </c>
      <c r="AQ151" s="30">
        <v>27</v>
      </c>
    </row>
    <row r="152" spans="1:61" x14ac:dyDescent="0.25">
      <c r="A152" s="32">
        <v>360</v>
      </c>
      <c r="AJ152">
        <v>145</v>
      </c>
      <c r="AK152">
        <v>5</v>
      </c>
      <c r="AL152">
        <v>25</v>
      </c>
      <c r="AM152">
        <v>26</v>
      </c>
      <c r="AN152">
        <v>27</v>
      </c>
      <c r="AO152">
        <v>28</v>
      </c>
      <c r="AP152">
        <v>29</v>
      </c>
      <c r="AQ152" s="30">
        <v>30</v>
      </c>
    </row>
    <row r="153" spans="1:61" x14ac:dyDescent="0.25">
      <c r="A153" s="32">
        <v>362.5</v>
      </c>
      <c r="AJ153">
        <v>147</v>
      </c>
      <c r="AK153">
        <v>5</v>
      </c>
      <c r="AL153">
        <v>28</v>
      </c>
      <c r="AM153">
        <v>29</v>
      </c>
      <c r="AN153">
        <v>30</v>
      </c>
      <c r="AO153">
        <v>31</v>
      </c>
      <c r="AP153">
        <v>32</v>
      </c>
      <c r="AQ153" s="30">
        <v>33</v>
      </c>
    </row>
    <row r="154" spans="1:61" x14ac:dyDescent="0.25">
      <c r="A154" s="32">
        <v>365</v>
      </c>
      <c r="AJ154">
        <v>149</v>
      </c>
      <c r="AK154">
        <v>5</v>
      </c>
      <c r="AL154">
        <v>31</v>
      </c>
      <c r="AM154">
        <v>32</v>
      </c>
      <c r="AN154">
        <v>33</v>
      </c>
      <c r="AO154">
        <v>34</v>
      </c>
      <c r="AP154">
        <v>35</v>
      </c>
      <c r="AQ154" s="30">
        <v>36</v>
      </c>
    </row>
    <row r="155" spans="1:61" x14ac:dyDescent="0.25">
      <c r="A155" s="32">
        <v>367.5</v>
      </c>
    </row>
    <row r="156" spans="1:61" x14ac:dyDescent="0.25">
      <c r="A156" s="32">
        <v>370</v>
      </c>
      <c r="AJ156" s="26" t="s">
        <v>29</v>
      </c>
      <c r="AK156" s="26" t="s">
        <v>28</v>
      </c>
      <c r="AL156" s="149" t="s">
        <v>50</v>
      </c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  <c r="BH156" s="149"/>
      <c r="BI156" s="149"/>
    </row>
    <row r="157" spans="1:61" x14ac:dyDescent="0.25">
      <c r="A157" s="32">
        <v>372.5</v>
      </c>
      <c r="AJ157">
        <v>26</v>
      </c>
      <c r="AK157">
        <v>2</v>
      </c>
      <c r="AL157">
        <v>3</v>
      </c>
      <c r="AM157">
        <v>6</v>
      </c>
      <c r="AN157">
        <v>9</v>
      </c>
      <c r="AO157">
        <v>12</v>
      </c>
      <c r="AP157">
        <v>15</v>
      </c>
      <c r="AQ157">
        <v>18</v>
      </c>
      <c r="AR157">
        <v>21</v>
      </c>
      <c r="AS157">
        <v>24</v>
      </c>
      <c r="AT157">
        <v>27</v>
      </c>
      <c r="AU157">
        <v>30</v>
      </c>
      <c r="AV157">
        <v>33</v>
      </c>
      <c r="AW157" s="30">
        <v>36</v>
      </c>
    </row>
    <row r="158" spans="1:61" x14ac:dyDescent="0.25">
      <c r="A158" s="32">
        <v>375</v>
      </c>
      <c r="AJ158">
        <v>76</v>
      </c>
      <c r="AK158">
        <v>2</v>
      </c>
      <c r="AL158">
        <v>2</v>
      </c>
      <c r="AM158">
        <v>5</v>
      </c>
      <c r="AN158">
        <v>8</v>
      </c>
      <c r="AO158">
        <v>11</v>
      </c>
      <c r="AP158">
        <v>14</v>
      </c>
      <c r="AQ158">
        <v>17</v>
      </c>
      <c r="AR158">
        <v>20</v>
      </c>
      <c r="AS158">
        <v>23</v>
      </c>
      <c r="AT158">
        <v>26</v>
      </c>
      <c r="AU158">
        <v>29</v>
      </c>
      <c r="AV158">
        <v>32</v>
      </c>
      <c r="AW158" s="30">
        <v>35</v>
      </c>
    </row>
    <row r="159" spans="1:61" x14ac:dyDescent="0.25">
      <c r="A159" s="32">
        <v>377.5</v>
      </c>
      <c r="AJ159">
        <v>126</v>
      </c>
      <c r="AK159">
        <v>2</v>
      </c>
      <c r="AL159">
        <v>1</v>
      </c>
      <c r="AM159">
        <v>4</v>
      </c>
      <c r="AN159">
        <v>7</v>
      </c>
      <c r="AO159">
        <v>10</v>
      </c>
      <c r="AP159">
        <v>13</v>
      </c>
      <c r="AQ159">
        <v>16</v>
      </c>
      <c r="AR159">
        <v>19</v>
      </c>
      <c r="AS159">
        <v>22</v>
      </c>
      <c r="AT159">
        <v>25</v>
      </c>
      <c r="AU159">
        <v>28</v>
      </c>
      <c r="AV159">
        <v>31</v>
      </c>
      <c r="AW159" s="30">
        <v>34</v>
      </c>
    </row>
    <row r="160" spans="1:61" x14ac:dyDescent="0.25">
      <c r="A160" s="32">
        <v>380</v>
      </c>
      <c r="AJ160">
        <v>151</v>
      </c>
      <c r="AK160">
        <v>2</v>
      </c>
      <c r="AL160">
        <v>1</v>
      </c>
      <c r="AM160">
        <v>2</v>
      </c>
      <c r="AN160">
        <v>3</v>
      </c>
      <c r="AO160">
        <v>4</v>
      </c>
      <c r="AP160">
        <v>5</v>
      </c>
      <c r="AQ160">
        <v>6</v>
      </c>
      <c r="AR160">
        <v>7</v>
      </c>
      <c r="AS160">
        <v>8</v>
      </c>
      <c r="AT160">
        <v>9</v>
      </c>
      <c r="AU160">
        <v>10</v>
      </c>
      <c r="AV160">
        <v>11</v>
      </c>
      <c r="AW160" s="30">
        <v>12</v>
      </c>
    </row>
    <row r="161" spans="1:61" x14ac:dyDescent="0.25">
      <c r="A161" s="32">
        <v>382.5</v>
      </c>
      <c r="AJ161">
        <v>153</v>
      </c>
      <c r="AK161">
        <v>2</v>
      </c>
      <c r="AL161">
        <v>13</v>
      </c>
      <c r="AM161">
        <v>14</v>
      </c>
      <c r="AN161">
        <v>15</v>
      </c>
      <c r="AO161">
        <v>16</v>
      </c>
      <c r="AP161">
        <v>17</v>
      </c>
      <c r="AQ161">
        <v>18</v>
      </c>
      <c r="AR161">
        <v>19</v>
      </c>
      <c r="AS161">
        <v>20</v>
      </c>
      <c r="AT161">
        <v>21</v>
      </c>
      <c r="AU161">
        <v>22</v>
      </c>
      <c r="AV161">
        <v>23</v>
      </c>
      <c r="AW161" s="30">
        <v>24</v>
      </c>
    </row>
    <row r="162" spans="1:61" x14ac:dyDescent="0.25">
      <c r="A162" s="32">
        <v>385</v>
      </c>
      <c r="AJ162">
        <v>155</v>
      </c>
      <c r="AK162">
        <v>2</v>
      </c>
      <c r="AL162">
        <v>25</v>
      </c>
      <c r="AM162">
        <v>26</v>
      </c>
      <c r="AN162">
        <v>27</v>
      </c>
      <c r="AO162">
        <v>28</v>
      </c>
      <c r="AP162">
        <v>29</v>
      </c>
      <c r="AQ162">
        <v>30</v>
      </c>
      <c r="AR162">
        <v>31</v>
      </c>
      <c r="AS162">
        <v>32</v>
      </c>
      <c r="AT162">
        <v>33</v>
      </c>
      <c r="AU162">
        <v>34</v>
      </c>
      <c r="AV162">
        <v>35</v>
      </c>
      <c r="AW162" s="30">
        <v>36</v>
      </c>
    </row>
    <row r="163" spans="1:61" x14ac:dyDescent="0.25">
      <c r="A163" s="32">
        <v>387.5</v>
      </c>
    </row>
    <row r="164" spans="1:61" x14ac:dyDescent="0.25">
      <c r="A164" s="32">
        <v>390</v>
      </c>
      <c r="AJ164" s="26" t="s">
        <v>29</v>
      </c>
      <c r="AK164" s="26" t="s">
        <v>28</v>
      </c>
      <c r="AL164" s="149" t="s">
        <v>51</v>
      </c>
      <c r="AM164" s="149"/>
      <c r="AN164" s="149"/>
      <c r="AO164" s="149"/>
      <c r="AP164" s="149"/>
      <c r="AQ164" s="149"/>
      <c r="AR164" s="149"/>
      <c r="AS164" s="149"/>
      <c r="AT164" s="149"/>
      <c r="AU164" s="149"/>
      <c r="AV164" s="149"/>
      <c r="AW164" s="149"/>
      <c r="AX164" s="149"/>
      <c r="AY164" s="149"/>
      <c r="AZ164" s="149"/>
      <c r="BA164" s="149"/>
      <c r="BB164" s="149"/>
      <c r="BC164" s="149"/>
      <c r="BD164" s="149"/>
      <c r="BE164" s="149"/>
      <c r="BF164" s="149"/>
      <c r="BG164" s="149"/>
      <c r="BH164" s="149"/>
      <c r="BI164" s="149"/>
    </row>
    <row r="165" spans="1:61" x14ac:dyDescent="0.25">
      <c r="A165" s="32">
        <v>392.5</v>
      </c>
      <c r="AJ165">
        <v>156</v>
      </c>
      <c r="AK165">
        <v>1</v>
      </c>
      <c r="AL165">
        <v>1</v>
      </c>
      <c r="AM165">
        <v>2</v>
      </c>
      <c r="AN165">
        <v>3</v>
      </c>
      <c r="AO165">
        <v>4</v>
      </c>
      <c r="AP165">
        <v>5</v>
      </c>
      <c r="AQ165">
        <v>6</v>
      </c>
      <c r="AR165">
        <v>7</v>
      </c>
      <c r="AS165">
        <v>8</v>
      </c>
      <c r="AT165">
        <v>9</v>
      </c>
      <c r="AU165">
        <v>10</v>
      </c>
      <c r="AV165">
        <v>11</v>
      </c>
      <c r="AW165">
        <v>12</v>
      </c>
      <c r="AX165">
        <v>13</v>
      </c>
      <c r="AY165">
        <v>14</v>
      </c>
      <c r="AZ165">
        <v>15</v>
      </c>
      <c r="BA165">
        <v>16</v>
      </c>
      <c r="BB165">
        <v>17</v>
      </c>
      <c r="BC165" s="30">
        <v>18</v>
      </c>
    </row>
    <row r="166" spans="1:61" x14ac:dyDescent="0.25">
      <c r="A166" s="32">
        <v>395</v>
      </c>
      <c r="AJ166">
        <v>157</v>
      </c>
      <c r="AK166">
        <v>1</v>
      </c>
      <c r="AL166">
        <v>2</v>
      </c>
      <c r="AM166">
        <v>4</v>
      </c>
      <c r="AN166">
        <v>6</v>
      </c>
      <c r="AO166">
        <v>8</v>
      </c>
      <c r="AP166">
        <v>10</v>
      </c>
      <c r="AQ166">
        <v>12</v>
      </c>
      <c r="AR166">
        <v>14</v>
      </c>
      <c r="AS166">
        <v>16</v>
      </c>
      <c r="AT166">
        <v>18</v>
      </c>
      <c r="AU166">
        <v>20</v>
      </c>
      <c r="AV166">
        <v>22</v>
      </c>
      <c r="AW166">
        <v>24</v>
      </c>
      <c r="AX166">
        <v>26</v>
      </c>
      <c r="AY166">
        <v>28</v>
      </c>
      <c r="AZ166">
        <v>30</v>
      </c>
      <c r="BA166">
        <v>32</v>
      </c>
      <c r="BB166">
        <v>34</v>
      </c>
      <c r="BC166" s="30">
        <v>36</v>
      </c>
    </row>
    <row r="167" spans="1:61" x14ac:dyDescent="0.25">
      <c r="A167" s="32">
        <v>397.5</v>
      </c>
      <c r="AJ167">
        <v>158</v>
      </c>
      <c r="AK167">
        <v>1</v>
      </c>
      <c r="AL167">
        <v>1</v>
      </c>
      <c r="AM167">
        <v>3</v>
      </c>
      <c r="AN167">
        <v>5</v>
      </c>
      <c r="AO167">
        <v>7</v>
      </c>
      <c r="AP167">
        <v>9</v>
      </c>
      <c r="AQ167">
        <v>12</v>
      </c>
      <c r="AR167">
        <v>14</v>
      </c>
      <c r="AS167">
        <v>16</v>
      </c>
      <c r="AT167">
        <v>18</v>
      </c>
      <c r="AU167">
        <v>19</v>
      </c>
      <c r="AV167">
        <v>21</v>
      </c>
      <c r="AW167">
        <v>23</v>
      </c>
      <c r="AX167">
        <v>25</v>
      </c>
      <c r="AY167">
        <v>27</v>
      </c>
      <c r="AZ167">
        <v>30</v>
      </c>
      <c r="BA167">
        <v>32</v>
      </c>
      <c r="BB167">
        <v>34</v>
      </c>
      <c r="BC167" s="30">
        <v>36</v>
      </c>
    </row>
    <row r="168" spans="1:61" x14ac:dyDescent="0.25">
      <c r="A168" s="32">
        <v>400</v>
      </c>
      <c r="AJ168">
        <v>159</v>
      </c>
      <c r="AK168">
        <v>1</v>
      </c>
      <c r="AL168">
        <v>2</v>
      </c>
      <c r="AM168">
        <v>4</v>
      </c>
      <c r="AN168">
        <v>6</v>
      </c>
      <c r="AO168">
        <v>8</v>
      </c>
      <c r="AP168">
        <v>10</v>
      </c>
      <c r="AQ168">
        <v>11</v>
      </c>
      <c r="AR168">
        <v>13</v>
      </c>
      <c r="AS168">
        <v>15</v>
      </c>
      <c r="AT168">
        <v>17</v>
      </c>
      <c r="AU168">
        <v>20</v>
      </c>
      <c r="AV168">
        <v>22</v>
      </c>
      <c r="AW168">
        <v>24</v>
      </c>
      <c r="AX168">
        <v>26</v>
      </c>
      <c r="AY168">
        <v>28</v>
      </c>
      <c r="AZ168">
        <v>29</v>
      </c>
      <c r="BA168">
        <v>31</v>
      </c>
      <c r="BB168">
        <v>33</v>
      </c>
      <c r="BC168" s="30">
        <v>35</v>
      </c>
    </row>
    <row r="169" spans="1:61" x14ac:dyDescent="0.25">
      <c r="A169" s="32">
        <v>402.5</v>
      </c>
      <c r="AJ169">
        <v>160</v>
      </c>
      <c r="AK169">
        <v>1</v>
      </c>
      <c r="AL169">
        <v>1</v>
      </c>
      <c r="AM169">
        <v>3</v>
      </c>
      <c r="AN169">
        <v>5</v>
      </c>
      <c r="AO169">
        <v>7</v>
      </c>
      <c r="AP169">
        <v>9</v>
      </c>
      <c r="AQ169">
        <v>11</v>
      </c>
      <c r="AR169">
        <v>13</v>
      </c>
      <c r="AS169">
        <v>15</v>
      </c>
      <c r="AT169">
        <v>17</v>
      </c>
      <c r="AU169">
        <v>19</v>
      </c>
      <c r="AV169">
        <v>21</v>
      </c>
      <c r="AW169">
        <v>23</v>
      </c>
      <c r="AX169">
        <v>25</v>
      </c>
      <c r="AY169">
        <v>27</v>
      </c>
      <c r="AZ169">
        <v>29</v>
      </c>
      <c r="BA169">
        <v>31</v>
      </c>
      <c r="BB169">
        <v>33</v>
      </c>
      <c r="BC169" s="30">
        <v>35</v>
      </c>
    </row>
    <row r="170" spans="1:61" x14ac:dyDescent="0.25">
      <c r="A170" s="32">
        <v>405</v>
      </c>
      <c r="AJ170">
        <v>161</v>
      </c>
      <c r="AK170">
        <v>1</v>
      </c>
      <c r="AL170">
        <v>19</v>
      </c>
      <c r="AM170">
        <v>20</v>
      </c>
      <c r="AN170">
        <v>21</v>
      </c>
      <c r="AO170">
        <v>22</v>
      </c>
      <c r="AP170">
        <v>23</v>
      </c>
      <c r="AQ170">
        <v>24</v>
      </c>
      <c r="AR170">
        <v>25</v>
      </c>
      <c r="AS170">
        <v>26</v>
      </c>
      <c r="AT170">
        <v>27</v>
      </c>
      <c r="AU170">
        <v>28</v>
      </c>
      <c r="AV170">
        <v>29</v>
      </c>
      <c r="AW170">
        <v>30</v>
      </c>
      <c r="AX170">
        <v>31</v>
      </c>
      <c r="AY170">
        <v>32</v>
      </c>
      <c r="AZ170">
        <v>33</v>
      </c>
      <c r="BA170">
        <v>34</v>
      </c>
      <c r="BB170">
        <v>35</v>
      </c>
      <c r="BC170" s="30">
        <v>36</v>
      </c>
    </row>
    <row r="171" spans="1:61" x14ac:dyDescent="0.25">
      <c r="A171" s="32">
        <v>407.5</v>
      </c>
    </row>
    <row r="172" spans="1:61" x14ac:dyDescent="0.25">
      <c r="A172" s="32">
        <v>410</v>
      </c>
      <c r="AJ172" s="26" t="s">
        <v>29</v>
      </c>
      <c r="AK172" s="26" t="s">
        <v>28</v>
      </c>
      <c r="AL172" s="149" t="s">
        <v>52</v>
      </c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  <c r="BH172" s="149"/>
      <c r="BI172" s="149"/>
    </row>
    <row r="173" spans="1:61" x14ac:dyDescent="0.25">
      <c r="A173" s="32">
        <v>412.5</v>
      </c>
      <c r="AJ173">
        <v>51</v>
      </c>
      <c r="AK173">
        <v>0.5</v>
      </c>
      <c r="AL173">
        <v>2</v>
      </c>
      <c r="AM173">
        <v>3</v>
      </c>
      <c r="AN173">
        <v>5</v>
      </c>
      <c r="AO173">
        <v>6</v>
      </c>
      <c r="AP173">
        <v>8</v>
      </c>
      <c r="AQ173">
        <v>9</v>
      </c>
      <c r="AR173">
        <v>11</v>
      </c>
      <c r="AS173">
        <v>12</v>
      </c>
      <c r="AT173">
        <v>14</v>
      </c>
      <c r="AU173">
        <v>15</v>
      </c>
      <c r="AV173">
        <v>17</v>
      </c>
      <c r="AW173">
        <v>18</v>
      </c>
      <c r="AX173">
        <v>20</v>
      </c>
      <c r="AY173">
        <v>21</v>
      </c>
      <c r="AZ173">
        <v>23</v>
      </c>
      <c r="BA173">
        <v>24</v>
      </c>
      <c r="BB173">
        <v>26</v>
      </c>
      <c r="BC173">
        <v>27</v>
      </c>
      <c r="BD173">
        <v>29</v>
      </c>
      <c r="BE173">
        <v>30</v>
      </c>
      <c r="BF173">
        <v>32</v>
      </c>
      <c r="BG173">
        <v>33</v>
      </c>
      <c r="BH173">
        <v>35</v>
      </c>
      <c r="BI173" s="30">
        <v>36</v>
      </c>
    </row>
    <row r="174" spans="1:61" x14ac:dyDescent="0.25">
      <c r="A174" s="32">
        <v>415</v>
      </c>
      <c r="AJ174">
        <v>101</v>
      </c>
      <c r="AK174" s="30">
        <v>0.5</v>
      </c>
      <c r="AL174">
        <v>1</v>
      </c>
      <c r="AM174">
        <v>2</v>
      </c>
      <c r="AN174">
        <v>4</v>
      </c>
      <c r="AO174">
        <v>5</v>
      </c>
      <c r="AP174">
        <v>7</v>
      </c>
      <c r="AQ174">
        <v>8</v>
      </c>
      <c r="AR174">
        <v>10</v>
      </c>
      <c r="AS174">
        <v>11</v>
      </c>
      <c r="AT174">
        <v>13</v>
      </c>
      <c r="AU174">
        <v>14</v>
      </c>
      <c r="AV174">
        <v>16</v>
      </c>
      <c r="AW174">
        <v>17</v>
      </c>
      <c r="AX174">
        <v>19</v>
      </c>
      <c r="AY174">
        <v>20</v>
      </c>
      <c r="AZ174">
        <v>22</v>
      </c>
      <c r="BA174">
        <v>23</v>
      </c>
      <c r="BB174">
        <v>25</v>
      </c>
      <c r="BC174">
        <v>26</v>
      </c>
      <c r="BD174">
        <v>28</v>
      </c>
      <c r="BE174">
        <v>29</v>
      </c>
      <c r="BF174">
        <v>31</v>
      </c>
      <c r="BG174">
        <v>32</v>
      </c>
      <c r="BH174">
        <v>34</v>
      </c>
      <c r="BI174" s="30">
        <v>35</v>
      </c>
    </row>
    <row r="175" spans="1:61" x14ac:dyDescent="0.25">
      <c r="A175" s="32">
        <v>417.5</v>
      </c>
      <c r="AJ175">
        <v>152</v>
      </c>
      <c r="AK175">
        <v>0.5</v>
      </c>
      <c r="AL175">
        <v>1</v>
      </c>
      <c r="AM175">
        <v>2</v>
      </c>
      <c r="AN175">
        <v>3</v>
      </c>
      <c r="AO175">
        <v>4</v>
      </c>
      <c r="AP175">
        <v>5</v>
      </c>
      <c r="AQ175">
        <v>6</v>
      </c>
      <c r="AR175">
        <v>7</v>
      </c>
      <c r="AS175">
        <v>8</v>
      </c>
      <c r="AT175">
        <v>9</v>
      </c>
      <c r="AU175">
        <v>10</v>
      </c>
      <c r="AV175">
        <v>11</v>
      </c>
      <c r="AW175">
        <v>12</v>
      </c>
      <c r="AX175">
        <v>13</v>
      </c>
      <c r="AY175">
        <v>14</v>
      </c>
      <c r="AZ175">
        <v>15</v>
      </c>
      <c r="BA175">
        <v>16</v>
      </c>
      <c r="BB175">
        <v>17</v>
      </c>
      <c r="BC175">
        <v>18</v>
      </c>
      <c r="BD175">
        <v>19</v>
      </c>
      <c r="BE175">
        <v>20</v>
      </c>
      <c r="BF175">
        <v>21</v>
      </c>
      <c r="BG175">
        <v>22</v>
      </c>
      <c r="BH175">
        <v>23</v>
      </c>
      <c r="BI175" s="30">
        <v>24</v>
      </c>
    </row>
    <row r="176" spans="1:61" x14ac:dyDescent="0.25">
      <c r="A176" s="32">
        <v>420</v>
      </c>
      <c r="AJ176">
        <v>154</v>
      </c>
      <c r="AK176">
        <v>0.5</v>
      </c>
      <c r="AL176">
        <v>13</v>
      </c>
      <c r="AM176">
        <v>14</v>
      </c>
      <c r="AN176">
        <v>15</v>
      </c>
      <c r="AO176">
        <v>16</v>
      </c>
      <c r="AP176">
        <v>17</v>
      </c>
      <c r="AQ176">
        <v>18</v>
      </c>
      <c r="AR176">
        <v>19</v>
      </c>
      <c r="AS176">
        <v>20</v>
      </c>
      <c r="AT176">
        <v>21</v>
      </c>
      <c r="AU176">
        <v>22</v>
      </c>
      <c r="AV176">
        <v>23</v>
      </c>
      <c r="AW176">
        <v>24</v>
      </c>
      <c r="AX176">
        <v>25</v>
      </c>
      <c r="AY176">
        <v>26</v>
      </c>
      <c r="AZ176">
        <v>27</v>
      </c>
      <c r="BA176">
        <v>28</v>
      </c>
      <c r="BB176">
        <v>29</v>
      </c>
      <c r="BC176">
        <v>30</v>
      </c>
      <c r="BD176">
        <v>31</v>
      </c>
      <c r="BE176">
        <v>32</v>
      </c>
      <c r="BF176">
        <v>33</v>
      </c>
      <c r="BG176">
        <v>34</v>
      </c>
      <c r="BH176">
        <v>35</v>
      </c>
      <c r="BI176" s="30">
        <v>36</v>
      </c>
    </row>
    <row r="177" spans="1:61" x14ac:dyDescent="0.25">
      <c r="A177" s="32">
        <v>422.5</v>
      </c>
    </row>
    <row r="178" spans="1:61" x14ac:dyDescent="0.25">
      <c r="A178" s="32">
        <v>425</v>
      </c>
      <c r="AJ178" s="26" t="s">
        <v>53</v>
      </c>
      <c r="AK178" s="26" t="s">
        <v>28</v>
      </c>
      <c r="AL178" s="86" t="s">
        <v>54</v>
      </c>
      <c r="AM178" s="86"/>
      <c r="AN178" s="86"/>
      <c r="AO178" s="86"/>
      <c r="AP178" s="86"/>
      <c r="AQ178" s="86"/>
      <c r="AR178" s="86"/>
      <c r="AS178" s="86"/>
      <c r="AT178" s="86"/>
      <c r="AU178" s="86"/>
      <c r="AV178" s="86"/>
      <c r="AW178" s="86"/>
      <c r="AX178" s="86"/>
      <c r="AY178" s="86"/>
      <c r="AZ178" s="86"/>
      <c r="BA178" s="86"/>
      <c r="BB178" s="86"/>
      <c r="BC178" s="86"/>
      <c r="BD178" s="86"/>
      <c r="BE178" s="86"/>
      <c r="BF178" s="86"/>
      <c r="BG178" s="86"/>
      <c r="BH178" s="86"/>
      <c r="BI178" s="86"/>
    </row>
    <row r="179" spans="1:61" x14ac:dyDescent="0.25">
      <c r="A179" s="32">
        <v>427.5</v>
      </c>
      <c r="AJ179">
        <v>1</v>
      </c>
      <c r="AK179">
        <v>35</v>
      </c>
      <c r="AL179" s="30">
        <v>0</v>
      </c>
    </row>
    <row r="180" spans="1:61" x14ac:dyDescent="0.25">
      <c r="A180" s="32">
        <v>430</v>
      </c>
      <c r="AJ180">
        <v>2</v>
      </c>
      <c r="AK180">
        <v>17</v>
      </c>
      <c r="AL180">
        <v>0</v>
      </c>
      <c r="AM180" s="30">
        <v>3</v>
      </c>
    </row>
    <row r="181" spans="1:61" x14ac:dyDescent="0.25">
      <c r="A181" s="32">
        <v>432.5</v>
      </c>
      <c r="AJ181">
        <v>3</v>
      </c>
      <c r="AK181">
        <v>35</v>
      </c>
      <c r="AL181" s="30">
        <v>3</v>
      </c>
    </row>
    <row r="182" spans="1:61" x14ac:dyDescent="0.25">
      <c r="A182" s="32">
        <v>435</v>
      </c>
      <c r="AJ182">
        <v>4</v>
      </c>
      <c r="AK182">
        <v>17</v>
      </c>
      <c r="AL182">
        <v>3</v>
      </c>
      <c r="AM182" s="30">
        <v>6</v>
      </c>
    </row>
    <row r="183" spans="1:61" x14ac:dyDescent="0.25">
      <c r="A183" s="32">
        <v>437.5</v>
      </c>
      <c r="AJ183">
        <v>5</v>
      </c>
      <c r="AK183">
        <v>35</v>
      </c>
      <c r="AL183" s="30">
        <v>6</v>
      </c>
    </row>
    <row r="184" spans="1:61" x14ac:dyDescent="0.25">
      <c r="A184" s="32">
        <v>440</v>
      </c>
      <c r="AJ184">
        <v>6</v>
      </c>
      <c r="AK184">
        <v>17</v>
      </c>
      <c r="AL184">
        <v>6</v>
      </c>
      <c r="AM184" s="30">
        <v>9</v>
      </c>
    </row>
    <row r="185" spans="1:61" x14ac:dyDescent="0.25">
      <c r="A185" s="32">
        <v>442.5</v>
      </c>
      <c r="AJ185">
        <v>7</v>
      </c>
      <c r="AK185">
        <v>35</v>
      </c>
      <c r="AL185" s="30">
        <v>9</v>
      </c>
    </row>
    <row r="186" spans="1:61" x14ac:dyDescent="0.25">
      <c r="A186" s="32">
        <v>445</v>
      </c>
      <c r="AJ186">
        <v>8</v>
      </c>
      <c r="AK186">
        <v>17</v>
      </c>
      <c r="AL186">
        <v>9</v>
      </c>
      <c r="AM186" s="30">
        <v>12</v>
      </c>
    </row>
    <row r="187" spans="1:61" x14ac:dyDescent="0.25">
      <c r="A187" s="32">
        <v>447.5</v>
      </c>
      <c r="AJ187">
        <v>9</v>
      </c>
      <c r="AK187">
        <v>35</v>
      </c>
      <c r="AL187" s="30">
        <v>12</v>
      </c>
    </row>
    <row r="188" spans="1:61" x14ac:dyDescent="0.25">
      <c r="A188" s="32">
        <v>450</v>
      </c>
      <c r="AJ188">
        <v>10</v>
      </c>
      <c r="AK188">
        <v>17</v>
      </c>
      <c r="AL188">
        <v>12</v>
      </c>
      <c r="AM188" s="30">
        <v>15</v>
      </c>
    </row>
    <row r="189" spans="1:61" x14ac:dyDescent="0.25">
      <c r="A189" s="32">
        <v>452.5</v>
      </c>
      <c r="AJ189">
        <v>11</v>
      </c>
      <c r="AK189">
        <v>35</v>
      </c>
      <c r="AL189" s="30">
        <v>15</v>
      </c>
    </row>
    <row r="190" spans="1:61" x14ac:dyDescent="0.25">
      <c r="A190" s="32">
        <v>455</v>
      </c>
      <c r="AJ190">
        <v>12</v>
      </c>
      <c r="AK190">
        <v>17</v>
      </c>
      <c r="AL190">
        <v>15</v>
      </c>
      <c r="AM190" s="30">
        <v>18</v>
      </c>
    </row>
    <row r="191" spans="1:61" x14ac:dyDescent="0.25">
      <c r="A191" s="32">
        <v>457.5</v>
      </c>
      <c r="AJ191">
        <v>13</v>
      </c>
      <c r="AK191">
        <v>35</v>
      </c>
      <c r="AL191" s="30">
        <v>18</v>
      </c>
    </row>
    <row r="192" spans="1:61" x14ac:dyDescent="0.25">
      <c r="A192" s="32">
        <v>460</v>
      </c>
      <c r="AJ192">
        <v>14</v>
      </c>
      <c r="AK192">
        <v>17</v>
      </c>
      <c r="AL192">
        <v>18</v>
      </c>
      <c r="AM192" s="30">
        <v>21</v>
      </c>
    </row>
    <row r="193" spans="1:49" x14ac:dyDescent="0.25">
      <c r="A193" s="32">
        <v>462.5</v>
      </c>
      <c r="AJ193">
        <v>15</v>
      </c>
      <c r="AK193">
        <v>35</v>
      </c>
      <c r="AL193" s="30">
        <v>21</v>
      </c>
    </row>
    <row r="194" spans="1:49" x14ac:dyDescent="0.25">
      <c r="A194" s="32">
        <v>465</v>
      </c>
      <c r="AJ194">
        <v>16</v>
      </c>
      <c r="AK194">
        <v>17</v>
      </c>
      <c r="AL194">
        <v>21</v>
      </c>
      <c r="AM194" s="30">
        <v>24</v>
      </c>
    </row>
    <row r="195" spans="1:49" x14ac:dyDescent="0.25">
      <c r="A195" s="32">
        <v>467.5</v>
      </c>
      <c r="AJ195">
        <v>17</v>
      </c>
      <c r="AK195">
        <v>35</v>
      </c>
      <c r="AL195" s="30">
        <v>24</v>
      </c>
    </row>
    <row r="196" spans="1:49" x14ac:dyDescent="0.25">
      <c r="A196" s="32">
        <v>470</v>
      </c>
      <c r="AJ196">
        <v>18</v>
      </c>
      <c r="AK196">
        <v>17</v>
      </c>
      <c r="AL196">
        <v>24</v>
      </c>
      <c r="AM196" s="30">
        <v>27</v>
      </c>
    </row>
    <row r="197" spans="1:49" x14ac:dyDescent="0.25">
      <c r="A197" s="32">
        <v>472.5</v>
      </c>
      <c r="AJ197">
        <v>19</v>
      </c>
      <c r="AK197">
        <v>35</v>
      </c>
      <c r="AL197" s="30">
        <v>27</v>
      </c>
    </row>
    <row r="198" spans="1:49" x14ac:dyDescent="0.25">
      <c r="A198" s="32">
        <v>475</v>
      </c>
      <c r="AJ198">
        <v>20</v>
      </c>
      <c r="AK198">
        <v>17</v>
      </c>
      <c r="AL198">
        <v>27</v>
      </c>
      <c r="AM198" s="30">
        <v>30</v>
      </c>
    </row>
    <row r="199" spans="1:49" x14ac:dyDescent="0.25">
      <c r="A199" s="32">
        <v>477.5</v>
      </c>
      <c r="AJ199">
        <v>21</v>
      </c>
      <c r="AK199">
        <v>35</v>
      </c>
      <c r="AL199" s="30">
        <v>30</v>
      </c>
    </row>
    <row r="200" spans="1:49" x14ac:dyDescent="0.25">
      <c r="A200" s="32">
        <v>480</v>
      </c>
      <c r="AJ200">
        <v>22</v>
      </c>
      <c r="AK200">
        <v>17</v>
      </c>
      <c r="AL200">
        <v>30</v>
      </c>
      <c r="AM200" s="30">
        <v>33</v>
      </c>
    </row>
    <row r="201" spans="1:49" x14ac:dyDescent="0.25">
      <c r="A201" s="32">
        <v>482.5</v>
      </c>
      <c r="AJ201">
        <v>23</v>
      </c>
      <c r="AK201">
        <v>35</v>
      </c>
      <c r="AL201" s="30">
        <v>33</v>
      </c>
    </row>
    <row r="202" spans="1:49" x14ac:dyDescent="0.25">
      <c r="A202" s="32">
        <v>485</v>
      </c>
      <c r="AJ202">
        <v>24</v>
      </c>
      <c r="AK202">
        <v>17</v>
      </c>
      <c r="AL202">
        <v>33</v>
      </c>
      <c r="AM202" s="30">
        <v>36</v>
      </c>
    </row>
    <row r="203" spans="1:49" x14ac:dyDescent="0.25">
      <c r="A203" s="32">
        <v>487.5</v>
      </c>
      <c r="AJ203">
        <v>25</v>
      </c>
      <c r="AK203">
        <v>35</v>
      </c>
      <c r="AL203" s="30">
        <v>36</v>
      </c>
    </row>
    <row r="204" spans="1:49" x14ac:dyDescent="0.25">
      <c r="A204" s="32">
        <v>490</v>
      </c>
      <c r="AJ204">
        <v>26</v>
      </c>
      <c r="AK204">
        <v>2</v>
      </c>
      <c r="AL204">
        <v>3</v>
      </c>
      <c r="AM204">
        <v>6</v>
      </c>
      <c r="AN204">
        <v>9</v>
      </c>
      <c r="AO204">
        <v>12</v>
      </c>
      <c r="AP204">
        <v>15</v>
      </c>
      <c r="AQ204">
        <v>18</v>
      </c>
      <c r="AR204">
        <v>21</v>
      </c>
      <c r="AS204">
        <v>24</v>
      </c>
      <c r="AT204">
        <v>27</v>
      </c>
      <c r="AU204">
        <v>30</v>
      </c>
      <c r="AV204">
        <v>33</v>
      </c>
      <c r="AW204" s="30">
        <v>36</v>
      </c>
    </row>
    <row r="205" spans="1:49" x14ac:dyDescent="0.25">
      <c r="A205" s="32">
        <v>492.5</v>
      </c>
      <c r="AJ205">
        <v>27</v>
      </c>
      <c r="AK205">
        <v>11</v>
      </c>
      <c r="AL205">
        <v>0</v>
      </c>
      <c r="AM205">
        <v>2</v>
      </c>
      <c r="AN205" s="30">
        <v>3</v>
      </c>
    </row>
    <row r="206" spans="1:49" x14ac:dyDescent="0.25">
      <c r="A206" s="32">
        <v>495</v>
      </c>
      <c r="AJ206">
        <v>28</v>
      </c>
      <c r="AK206">
        <v>17</v>
      </c>
      <c r="AL206">
        <v>2</v>
      </c>
      <c r="AM206" s="30">
        <v>3</v>
      </c>
    </row>
    <row r="207" spans="1:49" x14ac:dyDescent="0.25">
      <c r="A207" s="32">
        <v>497.5</v>
      </c>
      <c r="AJ207">
        <v>29</v>
      </c>
      <c r="AK207">
        <v>8</v>
      </c>
      <c r="AL207">
        <v>2</v>
      </c>
      <c r="AM207">
        <v>3</v>
      </c>
      <c r="AN207">
        <v>5</v>
      </c>
      <c r="AO207" s="30">
        <v>6</v>
      </c>
    </row>
    <row r="208" spans="1:49" x14ac:dyDescent="0.25">
      <c r="A208" s="32">
        <v>500</v>
      </c>
      <c r="AJ208">
        <v>30</v>
      </c>
      <c r="AK208">
        <v>17</v>
      </c>
      <c r="AL208">
        <v>5</v>
      </c>
      <c r="AM208" s="30">
        <v>6</v>
      </c>
    </row>
    <row r="209" spans="1:41" x14ac:dyDescent="0.25">
      <c r="A209" s="32">
        <v>0</v>
      </c>
      <c r="AJ209">
        <v>31</v>
      </c>
      <c r="AK209">
        <v>8</v>
      </c>
      <c r="AL209">
        <v>5</v>
      </c>
      <c r="AM209">
        <v>6</v>
      </c>
      <c r="AN209">
        <v>8</v>
      </c>
      <c r="AO209" s="30">
        <v>9</v>
      </c>
    </row>
    <row r="210" spans="1:41" x14ac:dyDescent="0.25">
      <c r="A210" s="32">
        <v>5</v>
      </c>
      <c r="AJ210">
        <v>32</v>
      </c>
      <c r="AK210">
        <v>17</v>
      </c>
      <c r="AL210">
        <v>8</v>
      </c>
      <c r="AM210" s="30">
        <v>9</v>
      </c>
    </row>
    <row r="211" spans="1:41" x14ac:dyDescent="0.25">
      <c r="A211" s="32">
        <v>10</v>
      </c>
      <c r="AJ211">
        <v>33</v>
      </c>
      <c r="AK211">
        <v>8</v>
      </c>
      <c r="AL211">
        <v>8</v>
      </c>
      <c r="AM211">
        <v>9</v>
      </c>
      <c r="AN211">
        <v>11</v>
      </c>
      <c r="AO211" s="30">
        <v>12</v>
      </c>
    </row>
    <row r="212" spans="1:41" x14ac:dyDescent="0.25">
      <c r="A212" s="32">
        <v>15</v>
      </c>
      <c r="AJ212">
        <v>34</v>
      </c>
      <c r="AK212">
        <v>17</v>
      </c>
      <c r="AL212">
        <v>11</v>
      </c>
      <c r="AM212" s="30">
        <v>12</v>
      </c>
    </row>
    <row r="213" spans="1:41" x14ac:dyDescent="0.25">
      <c r="A213" s="32">
        <v>20</v>
      </c>
      <c r="AJ213">
        <v>35</v>
      </c>
      <c r="AK213">
        <v>8</v>
      </c>
      <c r="AL213">
        <v>11</v>
      </c>
      <c r="AM213">
        <v>12</v>
      </c>
      <c r="AN213">
        <v>14</v>
      </c>
      <c r="AO213" s="30">
        <v>15</v>
      </c>
    </row>
    <row r="214" spans="1:41" x14ac:dyDescent="0.25">
      <c r="A214" s="32">
        <v>25</v>
      </c>
      <c r="AJ214">
        <v>36</v>
      </c>
      <c r="AK214">
        <v>17</v>
      </c>
      <c r="AL214">
        <v>14</v>
      </c>
      <c r="AM214" s="30">
        <v>15</v>
      </c>
    </row>
    <row r="215" spans="1:41" x14ac:dyDescent="0.25">
      <c r="A215" s="32">
        <v>30</v>
      </c>
      <c r="AJ215">
        <v>37</v>
      </c>
      <c r="AK215">
        <v>8</v>
      </c>
      <c r="AL215">
        <v>14</v>
      </c>
      <c r="AM215">
        <v>15</v>
      </c>
      <c r="AN215">
        <v>17</v>
      </c>
      <c r="AO215" s="30">
        <v>18</v>
      </c>
    </row>
    <row r="216" spans="1:41" x14ac:dyDescent="0.25">
      <c r="A216" s="32">
        <v>35</v>
      </c>
      <c r="AJ216">
        <v>38</v>
      </c>
      <c r="AK216">
        <v>17</v>
      </c>
      <c r="AL216">
        <v>17</v>
      </c>
      <c r="AM216" s="30">
        <v>18</v>
      </c>
    </row>
    <row r="217" spans="1:41" x14ac:dyDescent="0.25">
      <c r="A217" s="32">
        <v>40</v>
      </c>
      <c r="AJ217">
        <v>39</v>
      </c>
      <c r="AK217">
        <v>8</v>
      </c>
      <c r="AL217">
        <v>17</v>
      </c>
      <c r="AM217">
        <v>18</v>
      </c>
      <c r="AN217">
        <v>20</v>
      </c>
      <c r="AO217" s="30">
        <v>21</v>
      </c>
    </row>
    <row r="218" spans="1:41" x14ac:dyDescent="0.25">
      <c r="A218" s="32">
        <v>45</v>
      </c>
      <c r="AJ218">
        <v>40</v>
      </c>
      <c r="AK218">
        <v>17</v>
      </c>
      <c r="AL218">
        <v>20</v>
      </c>
      <c r="AM218" s="30">
        <v>21</v>
      </c>
    </row>
    <row r="219" spans="1:41" x14ac:dyDescent="0.25">
      <c r="A219" s="32">
        <v>50</v>
      </c>
      <c r="AJ219">
        <v>41</v>
      </c>
      <c r="AK219">
        <v>8</v>
      </c>
      <c r="AL219">
        <v>20</v>
      </c>
      <c r="AM219">
        <v>21</v>
      </c>
      <c r="AN219">
        <v>23</v>
      </c>
      <c r="AO219" s="30">
        <v>24</v>
      </c>
    </row>
    <row r="220" spans="1:41" x14ac:dyDescent="0.25">
      <c r="A220" s="32">
        <v>55</v>
      </c>
      <c r="AJ220">
        <v>42</v>
      </c>
      <c r="AK220">
        <v>17</v>
      </c>
      <c r="AL220">
        <v>23</v>
      </c>
      <c r="AM220" s="30">
        <v>24</v>
      </c>
    </row>
    <row r="221" spans="1:41" x14ac:dyDescent="0.25">
      <c r="A221" s="32">
        <v>60</v>
      </c>
      <c r="AJ221">
        <v>43</v>
      </c>
      <c r="AK221">
        <v>8</v>
      </c>
      <c r="AL221">
        <v>23</v>
      </c>
      <c r="AM221">
        <v>24</v>
      </c>
      <c r="AN221">
        <v>26</v>
      </c>
      <c r="AO221" s="30">
        <v>27</v>
      </c>
    </row>
    <row r="222" spans="1:41" x14ac:dyDescent="0.25">
      <c r="A222" s="32">
        <v>65</v>
      </c>
      <c r="AJ222">
        <v>44</v>
      </c>
      <c r="AK222">
        <v>17</v>
      </c>
      <c r="AL222">
        <v>26</v>
      </c>
      <c r="AM222" s="30">
        <v>27</v>
      </c>
    </row>
    <row r="223" spans="1:41" x14ac:dyDescent="0.25">
      <c r="A223" s="32">
        <v>70</v>
      </c>
      <c r="AJ223">
        <v>45</v>
      </c>
      <c r="AK223">
        <v>8</v>
      </c>
      <c r="AL223">
        <v>26</v>
      </c>
      <c r="AM223">
        <v>27</v>
      </c>
      <c r="AN223">
        <v>29</v>
      </c>
      <c r="AO223" s="30">
        <v>30</v>
      </c>
    </row>
    <row r="224" spans="1:41" x14ac:dyDescent="0.25">
      <c r="A224" s="32">
        <v>75</v>
      </c>
      <c r="AJ224">
        <v>46</v>
      </c>
      <c r="AK224">
        <v>17</v>
      </c>
      <c r="AL224">
        <v>29</v>
      </c>
      <c r="AM224" s="30">
        <v>30</v>
      </c>
    </row>
    <row r="225" spans="1:61" x14ac:dyDescent="0.25">
      <c r="A225" s="32">
        <v>80</v>
      </c>
      <c r="AJ225">
        <v>47</v>
      </c>
      <c r="AK225">
        <v>8</v>
      </c>
      <c r="AL225">
        <v>29</v>
      </c>
      <c r="AM225">
        <v>30</v>
      </c>
      <c r="AN225">
        <v>32</v>
      </c>
      <c r="AO225" s="30">
        <v>33</v>
      </c>
    </row>
    <row r="226" spans="1:61" x14ac:dyDescent="0.25">
      <c r="A226" s="32">
        <v>85</v>
      </c>
      <c r="AJ226">
        <v>48</v>
      </c>
      <c r="AK226">
        <v>17</v>
      </c>
      <c r="AL226">
        <v>32</v>
      </c>
      <c r="AM226" s="30">
        <v>33</v>
      </c>
    </row>
    <row r="227" spans="1:61" x14ac:dyDescent="0.25">
      <c r="A227" s="32">
        <v>90</v>
      </c>
      <c r="AJ227">
        <v>49</v>
      </c>
      <c r="AK227">
        <v>8</v>
      </c>
      <c r="AL227">
        <v>32</v>
      </c>
      <c r="AM227">
        <v>33</v>
      </c>
      <c r="AN227">
        <v>35</v>
      </c>
      <c r="AO227" s="30">
        <v>36</v>
      </c>
    </row>
    <row r="228" spans="1:61" x14ac:dyDescent="0.25">
      <c r="A228" s="32">
        <v>95</v>
      </c>
      <c r="AJ228">
        <v>50</v>
      </c>
      <c r="AK228">
        <v>17</v>
      </c>
      <c r="AL228">
        <v>35</v>
      </c>
      <c r="AM228" s="30">
        <v>36</v>
      </c>
    </row>
    <row r="229" spans="1:61" x14ac:dyDescent="0.25">
      <c r="A229" s="32">
        <v>100</v>
      </c>
      <c r="AJ229">
        <v>51</v>
      </c>
      <c r="AK229">
        <v>0.5</v>
      </c>
      <c r="AL229">
        <v>2</v>
      </c>
      <c r="AM229">
        <v>3</v>
      </c>
      <c r="AN229">
        <v>5</v>
      </c>
      <c r="AO229">
        <v>6</v>
      </c>
      <c r="AP229">
        <v>8</v>
      </c>
      <c r="AQ229">
        <v>9</v>
      </c>
      <c r="AR229">
        <v>11</v>
      </c>
      <c r="AS229">
        <v>12</v>
      </c>
      <c r="AT229">
        <v>14</v>
      </c>
      <c r="AU229">
        <v>15</v>
      </c>
      <c r="AV229">
        <v>17</v>
      </c>
      <c r="AW229">
        <v>18</v>
      </c>
      <c r="AX229">
        <v>20</v>
      </c>
      <c r="AY229">
        <v>21</v>
      </c>
      <c r="AZ229">
        <v>23</v>
      </c>
      <c r="BA229">
        <v>24</v>
      </c>
      <c r="BB229">
        <v>26</v>
      </c>
      <c r="BC229">
        <v>27</v>
      </c>
      <c r="BD229">
        <v>29</v>
      </c>
      <c r="BE229">
        <v>30</v>
      </c>
      <c r="BF229">
        <v>32</v>
      </c>
      <c r="BG229">
        <v>33</v>
      </c>
      <c r="BH229">
        <v>35</v>
      </c>
      <c r="BI229" s="30">
        <v>36</v>
      </c>
    </row>
    <row r="230" spans="1:61" x14ac:dyDescent="0.25">
      <c r="A230" s="32">
        <v>105</v>
      </c>
      <c r="AJ230">
        <v>52</v>
      </c>
      <c r="AK230">
        <v>17</v>
      </c>
      <c r="AL230">
        <v>0</v>
      </c>
      <c r="AM230" s="30">
        <v>2</v>
      </c>
    </row>
    <row r="231" spans="1:61" x14ac:dyDescent="0.25">
      <c r="A231" s="32">
        <v>110</v>
      </c>
      <c r="AJ231">
        <v>53</v>
      </c>
      <c r="AK231">
        <v>35</v>
      </c>
      <c r="AL231" s="30">
        <v>2</v>
      </c>
    </row>
    <row r="232" spans="1:61" x14ac:dyDescent="0.25">
      <c r="A232" s="32">
        <v>115</v>
      </c>
      <c r="AJ232">
        <v>54</v>
      </c>
      <c r="AK232">
        <v>17</v>
      </c>
      <c r="AL232">
        <v>2</v>
      </c>
      <c r="AM232" s="30">
        <v>5</v>
      </c>
    </row>
    <row r="233" spans="1:61" x14ac:dyDescent="0.25">
      <c r="A233" s="32">
        <v>120</v>
      </c>
      <c r="AJ233">
        <v>55</v>
      </c>
      <c r="AK233">
        <v>35</v>
      </c>
      <c r="AL233" s="30">
        <v>5</v>
      </c>
    </row>
    <row r="234" spans="1:61" x14ac:dyDescent="0.25">
      <c r="A234" s="32">
        <v>125</v>
      </c>
      <c r="AJ234">
        <v>56</v>
      </c>
      <c r="AK234">
        <v>17</v>
      </c>
      <c r="AL234">
        <v>5</v>
      </c>
      <c r="AM234" s="30">
        <v>8</v>
      </c>
    </row>
    <row r="235" spans="1:61" x14ac:dyDescent="0.25">
      <c r="A235" s="32">
        <v>130</v>
      </c>
      <c r="AJ235">
        <v>57</v>
      </c>
      <c r="AK235">
        <v>35</v>
      </c>
      <c r="AL235" s="30">
        <v>8</v>
      </c>
    </row>
    <row r="236" spans="1:61" x14ac:dyDescent="0.25">
      <c r="A236" s="32">
        <v>135</v>
      </c>
      <c r="AJ236">
        <v>58</v>
      </c>
      <c r="AK236">
        <v>17</v>
      </c>
      <c r="AL236">
        <v>8</v>
      </c>
      <c r="AM236" s="30">
        <v>11</v>
      </c>
    </row>
    <row r="237" spans="1:61" x14ac:dyDescent="0.25">
      <c r="A237" s="32">
        <v>140</v>
      </c>
      <c r="AJ237">
        <v>59</v>
      </c>
      <c r="AK237">
        <v>35</v>
      </c>
      <c r="AL237" s="30">
        <v>11</v>
      </c>
    </row>
    <row r="238" spans="1:61" x14ac:dyDescent="0.25">
      <c r="A238" s="32">
        <v>145</v>
      </c>
      <c r="AJ238">
        <v>60</v>
      </c>
      <c r="AK238">
        <v>17</v>
      </c>
      <c r="AL238">
        <v>11</v>
      </c>
      <c r="AM238" s="30">
        <v>14</v>
      </c>
    </row>
    <row r="239" spans="1:61" x14ac:dyDescent="0.25">
      <c r="A239" s="32">
        <v>150</v>
      </c>
      <c r="AJ239">
        <v>61</v>
      </c>
      <c r="AK239">
        <v>35</v>
      </c>
      <c r="AL239" s="30">
        <v>14</v>
      </c>
    </row>
    <row r="240" spans="1:61" x14ac:dyDescent="0.25">
      <c r="A240" s="32">
        <v>155</v>
      </c>
      <c r="AJ240">
        <v>62</v>
      </c>
      <c r="AK240">
        <v>17</v>
      </c>
      <c r="AL240">
        <v>14</v>
      </c>
      <c r="AM240" s="30">
        <v>17</v>
      </c>
    </row>
    <row r="241" spans="1:49" x14ac:dyDescent="0.25">
      <c r="A241" s="32">
        <v>160</v>
      </c>
      <c r="AJ241">
        <v>63</v>
      </c>
      <c r="AK241">
        <v>35</v>
      </c>
      <c r="AL241" s="30">
        <v>17</v>
      </c>
    </row>
    <row r="242" spans="1:49" x14ac:dyDescent="0.25">
      <c r="A242" s="32">
        <v>165</v>
      </c>
      <c r="AJ242">
        <v>64</v>
      </c>
      <c r="AK242">
        <v>17</v>
      </c>
      <c r="AL242">
        <v>17</v>
      </c>
      <c r="AM242" s="30">
        <v>20</v>
      </c>
    </row>
    <row r="243" spans="1:49" x14ac:dyDescent="0.25">
      <c r="A243" s="32">
        <v>170</v>
      </c>
      <c r="AJ243">
        <v>65</v>
      </c>
      <c r="AK243">
        <v>35</v>
      </c>
      <c r="AL243" s="30">
        <v>20</v>
      </c>
    </row>
    <row r="244" spans="1:49" x14ac:dyDescent="0.25">
      <c r="A244" s="32">
        <v>175</v>
      </c>
      <c r="AJ244">
        <v>66</v>
      </c>
      <c r="AK244">
        <v>17</v>
      </c>
      <c r="AL244">
        <v>20</v>
      </c>
      <c r="AM244" s="30">
        <v>23</v>
      </c>
    </row>
    <row r="245" spans="1:49" x14ac:dyDescent="0.25">
      <c r="A245" s="32">
        <v>180</v>
      </c>
      <c r="AJ245">
        <v>67</v>
      </c>
      <c r="AK245">
        <v>35</v>
      </c>
      <c r="AL245" s="30">
        <v>23</v>
      </c>
    </row>
    <row r="246" spans="1:49" x14ac:dyDescent="0.25">
      <c r="A246" s="32">
        <v>185</v>
      </c>
      <c r="AJ246">
        <v>68</v>
      </c>
      <c r="AK246">
        <v>17</v>
      </c>
      <c r="AL246">
        <v>23</v>
      </c>
      <c r="AM246" s="30">
        <v>26</v>
      </c>
    </row>
    <row r="247" spans="1:49" x14ac:dyDescent="0.25">
      <c r="A247" s="32">
        <v>190</v>
      </c>
      <c r="AJ247">
        <v>69</v>
      </c>
      <c r="AK247">
        <v>35</v>
      </c>
      <c r="AL247" s="30">
        <v>26</v>
      </c>
    </row>
    <row r="248" spans="1:49" x14ac:dyDescent="0.25">
      <c r="A248" s="32">
        <v>195</v>
      </c>
      <c r="AJ248">
        <v>70</v>
      </c>
      <c r="AK248">
        <v>17</v>
      </c>
      <c r="AL248">
        <v>26</v>
      </c>
      <c r="AM248" s="30">
        <v>29</v>
      </c>
    </row>
    <row r="249" spans="1:49" x14ac:dyDescent="0.25">
      <c r="A249" s="32">
        <v>200</v>
      </c>
      <c r="AJ249">
        <v>71</v>
      </c>
      <c r="AK249">
        <v>35</v>
      </c>
      <c r="AL249" s="30">
        <v>29</v>
      </c>
    </row>
    <row r="250" spans="1:49" x14ac:dyDescent="0.25">
      <c r="A250" s="32">
        <v>205</v>
      </c>
      <c r="AJ250">
        <v>72</v>
      </c>
      <c r="AK250">
        <v>17</v>
      </c>
      <c r="AL250">
        <v>29</v>
      </c>
      <c r="AM250" s="30">
        <v>32</v>
      </c>
    </row>
    <row r="251" spans="1:49" x14ac:dyDescent="0.25">
      <c r="A251" s="32">
        <v>210</v>
      </c>
      <c r="AJ251">
        <v>73</v>
      </c>
      <c r="AK251">
        <v>35</v>
      </c>
      <c r="AL251" s="30">
        <v>32</v>
      </c>
    </row>
    <row r="252" spans="1:49" x14ac:dyDescent="0.25">
      <c r="A252" s="32">
        <v>215</v>
      </c>
      <c r="AJ252">
        <v>74</v>
      </c>
      <c r="AK252">
        <v>17</v>
      </c>
      <c r="AL252">
        <v>32</v>
      </c>
      <c r="AM252" s="30">
        <v>35</v>
      </c>
    </row>
    <row r="253" spans="1:49" x14ac:dyDescent="0.25">
      <c r="A253" s="32">
        <v>220</v>
      </c>
      <c r="AJ253">
        <v>75</v>
      </c>
      <c r="AK253">
        <v>35</v>
      </c>
      <c r="AL253" s="30">
        <v>35</v>
      </c>
    </row>
    <row r="254" spans="1:49" x14ac:dyDescent="0.25">
      <c r="A254" s="32">
        <v>225</v>
      </c>
      <c r="AJ254">
        <v>76</v>
      </c>
      <c r="AK254">
        <v>2</v>
      </c>
      <c r="AL254">
        <v>2</v>
      </c>
      <c r="AM254">
        <v>5</v>
      </c>
      <c r="AN254">
        <v>8</v>
      </c>
      <c r="AO254">
        <v>11</v>
      </c>
      <c r="AP254">
        <v>14</v>
      </c>
      <c r="AQ254">
        <v>17</v>
      </c>
      <c r="AR254">
        <v>20</v>
      </c>
      <c r="AS254">
        <v>23</v>
      </c>
      <c r="AT254">
        <v>26</v>
      </c>
      <c r="AU254">
        <v>29</v>
      </c>
      <c r="AV254">
        <v>32</v>
      </c>
      <c r="AW254" s="30">
        <v>35</v>
      </c>
    </row>
    <row r="255" spans="1:49" x14ac:dyDescent="0.25">
      <c r="A255" s="32">
        <v>230</v>
      </c>
      <c r="AJ255">
        <v>77</v>
      </c>
      <c r="AK255">
        <v>11</v>
      </c>
      <c r="AL255">
        <v>0</v>
      </c>
      <c r="AM255">
        <v>1</v>
      </c>
      <c r="AN255" s="30">
        <v>2</v>
      </c>
    </row>
    <row r="256" spans="1:49" x14ac:dyDescent="0.25">
      <c r="A256" s="32">
        <v>235</v>
      </c>
      <c r="AJ256">
        <v>78</v>
      </c>
      <c r="AK256">
        <v>17</v>
      </c>
      <c r="AL256">
        <v>1</v>
      </c>
      <c r="AM256" s="30">
        <v>2</v>
      </c>
    </row>
    <row r="257" spans="1:41" x14ac:dyDescent="0.25">
      <c r="A257" s="32">
        <v>240</v>
      </c>
      <c r="AJ257">
        <v>79</v>
      </c>
      <c r="AK257">
        <v>8</v>
      </c>
      <c r="AL257">
        <v>1</v>
      </c>
      <c r="AM257">
        <v>2</v>
      </c>
      <c r="AN257">
        <v>4</v>
      </c>
      <c r="AO257" s="30">
        <v>5</v>
      </c>
    </row>
    <row r="258" spans="1:41" x14ac:dyDescent="0.25">
      <c r="A258" s="32">
        <v>245</v>
      </c>
      <c r="AJ258">
        <v>80</v>
      </c>
      <c r="AK258">
        <v>17</v>
      </c>
      <c r="AL258">
        <v>4</v>
      </c>
      <c r="AM258" s="30">
        <v>5</v>
      </c>
    </row>
    <row r="259" spans="1:41" x14ac:dyDescent="0.25">
      <c r="A259" s="32">
        <v>250</v>
      </c>
      <c r="AJ259">
        <v>81</v>
      </c>
      <c r="AK259">
        <v>8</v>
      </c>
      <c r="AL259">
        <v>4</v>
      </c>
      <c r="AM259">
        <v>5</v>
      </c>
      <c r="AN259">
        <v>7</v>
      </c>
      <c r="AO259" s="30">
        <v>8</v>
      </c>
    </row>
    <row r="260" spans="1:41" x14ac:dyDescent="0.25">
      <c r="A260" s="32">
        <v>255</v>
      </c>
      <c r="AJ260">
        <v>82</v>
      </c>
      <c r="AK260">
        <v>17</v>
      </c>
      <c r="AL260">
        <v>7</v>
      </c>
      <c r="AM260" s="30">
        <v>8</v>
      </c>
    </row>
    <row r="261" spans="1:41" x14ac:dyDescent="0.25">
      <c r="A261" s="32">
        <v>260</v>
      </c>
      <c r="AJ261">
        <v>83</v>
      </c>
      <c r="AK261">
        <v>8</v>
      </c>
      <c r="AL261">
        <v>7</v>
      </c>
      <c r="AM261">
        <v>8</v>
      </c>
      <c r="AN261">
        <v>10</v>
      </c>
      <c r="AO261" s="30">
        <v>11</v>
      </c>
    </row>
    <row r="262" spans="1:41" x14ac:dyDescent="0.25">
      <c r="A262" s="32">
        <v>265</v>
      </c>
      <c r="AJ262">
        <v>84</v>
      </c>
      <c r="AK262">
        <v>17</v>
      </c>
      <c r="AL262">
        <v>10</v>
      </c>
      <c r="AM262" s="30">
        <v>11</v>
      </c>
    </row>
    <row r="263" spans="1:41" x14ac:dyDescent="0.25">
      <c r="A263" s="32">
        <v>270</v>
      </c>
      <c r="AJ263">
        <v>85</v>
      </c>
      <c r="AK263">
        <v>8</v>
      </c>
      <c r="AL263">
        <v>10</v>
      </c>
      <c r="AM263">
        <v>11</v>
      </c>
      <c r="AN263">
        <v>13</v>
      </c>
      <c r="AO263" s="30">
        <v>14</v>
      </c>
    </row>
    <row r="264" spans="1:41" x14ac:dyDescent="0.25">
      <c r="A264" s="32">
        <v>275</v>
      </c>
      <c r="AJ264">
        <v>86</v>
      </c>
      <c r="AK264">
        <v>17</v>
      </c>
      <c r="AL264">
        <v>13</v>
      </c>
      <c r="AM264" s="30">
        <v>14</v>
      </c>
    </row>
    <row r="265" spans="1:41" x14ac:dyDescent="0.25">
      <c r="A265" s="32">
        <v>280</v>
      </c>
      <c r="AJ265">
        <v>87</v>
      </c>
      <c r="AK265">
        <v>8</v>
      </c>
      <c r="AL265">
        <v>13</v>
      </c>
      <c r="AM265">
        <v>14</v>
      </c>
      <c r="AN265">
        <v>16</v>
      </c>
      <c r="AO265" s="30">
        <v>17</v>
      </c>
    </row>
    <row r="266" spans="1:41" x14ac:dyDescent="0.25">
      <c r="A266" s="32">
        <v>285</v>
      </c>
      <c r="AJ266">
        <v>88</v>
      </c>
      <c r="AK266">
        <v>17</v>
      </c>
      <c r="AL266">
        <v>16</v>
      </c>
      <c r="AM266" s="30">
        <v>17</v>
      </c>
    </row>
    <row r="267" spans="1:41" x14ac:dyDescent="0.25">
      <c r="A267" s="32">
        <v>290</v>
      </c>
      <c r="AJ267">
        <v>89</v>
      </c>
      <c r="AK267">
        <v>8</v>
      </c>
      <c r="AL267">
        <v>16</v>
      </c>
      <c r="AM267">
        <v>17</v>
      </c>
      <c r="AN267">
        <v>19</v>
      </c>
      <c r="AO267" s="30">
        <v>20</v>
      </c>
    </row>
    <row r="268" spans="1:41" x14ac:dyDescent="0.25">
      <c r="A268" s="32">
        <v>295</v>
      </c>
      <c r="AJ268">
        <v>90</v>
      </c>
      <c r="AK268">
        <v>17</v>
      </c>
      <c r="AL268">
        <v>19</v>
      </c>
      <c r="AM268" s="30">
        <v>20</v>
      </c>
    </row>
    <row r="269" spans="1:41" x14ac:dyDescent="0.25">
      <c r="A269" s="32">
        <v>300</v>
      </c>
      <c r="AJ269">
        <v>91</v>
      </c>
      <c r="AK269">
        <v>8</v>
      </c>
      <c r="AL269">
        <v>19</v>
      </c>
      <c r="AM269">
        <v>20</v>
      </c>
      <c r="AN269">
        <v>22</v>
      </c>
      <c r="AO269" s="30">
        <v>23</v>
      </c>
    </row>
    <row r="270" spans="1:41" x14ac:dyDescent="0.25">
      <c r="A270" s="32">
        <v>305</v>
      </c>
      <c r="AJ270">
        <v>92</v>
      </c>
      <c r="AK270">
        <v>17</v>
      </c>
      <c r="AL270">
        <v>22</v>
      </c>
      <c r="AM270" s="30">
        <v>23</v>
      </c>
    </row>
    <row r="271" spans="1:41" x14ac:dyDescent="0.25">
      <c r="A271" s="32">
        <v>310</v>
      </c>
      <c r="AJ271">
        <v>93</v>
      </c>
      <c r="AK271">
        <v>8</v>
      </c>
      <c r="AL271">
        <v>22</v>
      </c>
      <c r="AM271">
        <v>23</v>
      </c>
      <c r="AN271">
        <v>25</v>
      </c>
      <c r="AO271" s="30">
        <v>26</v>
      </c>
    </row>
    <row r="272" spans="1:41" x14ac:dyDescent="0.25">
      <c r="A272" s="32">
        <v>315</v>
      </c>
      <c r="AJ272">
        <v>94</v>
      </c>
      <c r="AK272">
        <v>17</v>
      </c>
      <c r="AL272">
        <v>25</v>
      </c>
      <c r="AM272" s="30">
        <v>26</v>
      </c>
    </row>
    <row r="273" spans="1:61" x14ac:dyDescent="0.25">
      <c r="A273" s="32">
        <v>320</v>
      </c>
      <c r="AJ273">
        <v>95</v>
      </c>
      <c r="AK273">
        <v>8</v>
      </c>
      <c r="AL273">
        <v>25</v>
      </c>
      <c r="AM273">
        <v>26</v>
      </c>
      <c r="AN273">
        <v>28</v>
      </c>
      <c r="AO273" s="30">
        <v>29</v>
      </c>
    </row>
    <row r="274" spans="1:61" x14ac:dyDescent="0.25">
      <c r="A274" s="32">
        <v>325</v>
      </c>
      <c r="AJ274">
        <v>96</v>
      </c>
      <c r="AK274">
        <v>17</v>
      </c>
      <c r="AL274">
        <v>28</v>
      </c>
      <c r="AM274" s="30">
        <v>29</v>
      </c>
    </row>
    <row r="275" spans="1:61" x14ac:dyDescent="0.25">
      <c r="A275" s="32">
        <v>330</v>
      </c>
      <c r="AJ275">
        <v>97</v>
      </c>
      <c r="AK275">
        <v>8</v>
      </c>
      <c r="AL275">
        <v>28</v>
      </c>
      <c r="AM275">
        <v>29</v>
      </c>
      <c r="AN275">
        <v>31</v>
      </c>
      <c r="AO275" s="30">
        <v>32</v>
      </c>
    </row>
    <row r="276" spans="1:61" x14ac:dyDescent="0.25">
      <c r="A276" s="32">
        <v>335</v>
      </c>
      <c r="AJ276">
        <v>98</v>
      </c>
      <c r="AK276">
        <v>17</v>
      </c>
      <c r="AL276">
        <v>31</v>
      </c>
      <c r="AM276" s="30">
        <v>32</v>
      </c>
    </row>
    <row r="277" spans="1:61" x14ac:dyDescent="0.25">
      <c r="A277" s="32">
        <v>340</v>
      </c>
      <c r="AJ277">
        <v>99</v>
      </c>
      <c r="AK277" s="30">
        <v>8</v>
      </c>
      <c r="AL277">
        <v>31</v>
      </c>
      <c r="AM277">
        <v>32</v>
      </c>
      <c r="AN277">
        <v>34</v>
      </c>
      <c r="AO277" s="30">
        <v>35</v>
      </c>
    </row>
    <row r="278" spans="1:61" x14ac:dyDescent="0.25">
      <c r="A278" s="32">
        <v>345</v>
      </c>
      <c r="AJ278">
        <v>100</v>
      </c>
      <c r="AK278">
        <v>17</v>
      </c>
      <c r="AL278">
        <v>34</v>
      </c>
      <c r="AM278" s="30">
        <v>35</v>
      </c>
    </row>
    <row r="279" spans="1:61" x14ac:dyDescent="0.25">
      <c r="A279" s="32">
        <v>350</v>
      </c>
      <c r="AJ279">
        <v>101</v>
      </c>
      <c r="AK279" s="30">
        <v>0.5</v>
      </c>
      <c r="AL279">
        <v>1</v>
      </c>
      <c r="AM279">
        <v>2</v>
      </c>
      <c r="AN279">
        <v>4</v>
      </c>
      <c r="AO279">
        <v>5</v>
      </c>
      <c r="AP279">
        <v>7</v>
      </c>
      <c r="AQ279">
        <v>8</v>
      </c>
      <c r="AR279">
        <v>10</v>
      </c>
      <c r="AS279">
        <v>11</v>
      </c>
      <c r="AT279">
        <v>13</v>
      </c>
      <c r="AU279">
        <v>14</v>
      </c>
      <c r="AV279">
        <v>16</v>
      </c>
      <c r="AW279">
        <v>17</v>
      </c>
      <c r="AX279">
        <v>19</v>
      </c>
      <c r="AY279">
        <v>20</v>
      </c>
      <c r="AZ279">
        <v>22</v>
      </c>
      <c r="BA279">
        <v>23</v>
      </c>
      <c r="BB279">
        <v>25</v>
      </c>
      <c r="BC279">
        <v>26</v>
      </c>
      <c r="BD279">
        <v>28</v>
      </c>
      <c r="BE279">
        <v>29</v>
      </c>
      <c r="BF279">
        <v>31</v>
      </c>
      <c r="BG279">
        <v>32</v>
      </c>
      <c r="BH279">
        <v>34</v>
      </c>
      <c r="BI279" s="30">
        <v>35</v>
      </c>
    </row>
    <row r="280" spans="1:61" x14ac:dyDescent="0.25">
      <c r="A280" s="32">
        <v>355</v>
      </c>
      <c r="AJ280">
        <v>102</v>
      </c>
      <c r="AK280">
        <v>17</v>
      </c>
      <c r="AL280">
        <v>0</v>
      </c>
      <c r="AM280" s="30">
        <v>1</v>
      </c>
    </row>
    <row r="281" spans="1:61" x14ac:dyDescent="0.25">
      <c r="A281" s="32">
        <v>360</v>
      </c>
      <c r="AJ281">
        <v>103</v>
      </c>
      <c r="AK281">
        <v>35</v>
      </c>
      <c r="AL281" s="30">
        <v>1</v>
      </c>
    </row>
    <row r="282" spans="1:61" x14ac:dyDescent="0.25">
      <c r="A282" s="32">
        <v>365</v>
      </c>
      <c r="AJ282">
        <v>104</v>
      </c>
      <c r="AK282">
        <v>17</v>
      </c>
      <c r="AL282">
        <v>1</v>
      </c>
      <c r="AM282" s="30">
        <v>4</v>
      </c>
    </row>
    <row r="283" spans="1:61" x14ac:dyDescent="0.25">
      <c r="A283" s="32">
        <v>370</v>
      </c>
      <c r="AJ283">
        <v>105</v>
      </c>
      <c r="AK283">
        <v>35</v>
      </c>
      <c r="AL283" s="30">
        <v>4</v>
      </c>
    </row>
    <row r="284" spans="1:61" x14ac:dyDescent="0.25">
      <c r="A284" s="32">
        <v>375</v>
      </c>
      <c r="AJ284">
        <v>106</v>
      </c>
      <c r="AK284">
        <v>17</v>
      </c>
      <c r="AL284">
        <v>4</v>
      </c>
      <c r="AM284" s="30">
        <v>7</v>
      </c>
    </row>
    <row r="285" spans="1:61" x14ac:dyDescent="0.25">
      <c r="A285" s="32">
        <v>380</v>
      </c>
      <c r="AJ285">
        <v>107</v>
      </c>
      <c r="AK285">
        <v>35</v>
      </c>
      <c r="AL285" s="30">
        <v>7</v>
      </c>
    </row>
    <row r="286" spans="1:61" x14ac:dyDescent="0.25">
      <c r="A286" s="32">
        <v>385</v>
      </c>
      <c r="AJ286">
        <v>108</v>
      </c>
      <c r="AK286">
        <v>17</v>
      </c>
      <c r="AL286">
        <v>7</v>
      </c>
      <c r="AM286" s="30">
        <v>10</v>
      </c>
    </row>
    <row r="287" spans="1:61" x14ac:dyDescent="0.25">
      <c r="A287" s="32">
        <v>390</v>
      </c>
      <c r="AJ287">
        <v>109</v>
      </c>
      <c r="AK287">
        <v>35</v>
      </c>
      <c r="AL287" s="30">
        <v>10</v>
      </c>
    </row>
    <row r="288" spans="1:61" x14ac:dyDescent="0.25">
      <c r="A288" s="32">
        <v>395</v>
      </c>
      <c r="AJ288">
        <v>110</v>
      </c>
      <c r="AK288">
        <v>17</v>
      </c>
      <c r="AL288">
        <v>10</v>
      </c>
      <c r="AM288" s="30">
        <v>13</v>
      </c>
    </row>
    <row r="289" spans="1:49" x14ac:dyDescent="0.25">
      <c r="A289" s="32">
        <v>400</v>
      </c>
      <c r="AJ289">
        <v>111</v>
      </c>
      <c r="AK289">
        <v>35</v>
      </c>
      <c r="AL289" s="30">
        <v>13</v>
      </c>
    </row>
    <row r="290" spans="1:49" x14ac:dyDescent="0.25">
      <c r="A290" s="32">
        <v>405</v>
      </c>
      <c r="AJ290">
        <v>112</v>
      </c>
      <c r="AK290">
        <v>17</v>
      </c>
      <c r="AL290">
        <v>13</v>
      </c>
      <c r="AM290" s="30">
        <v>16</v>
      </c>
    </row>
    <row r="291" spans="1:49" x14ac:dyDescent="0.25">
      <c r="A291" s="32">
        <v>410</v>
      </c>
      <c r="AJ291">
        <v>113</v>
      </c>
      <c r="AK291">
        <v>35</v>
      </c>
      <c r="AL291" s="30">
        <v>16</v>
      </c>
    </row>
    <row r="292" spans="1:49" x14ac:dyDescent="0.25">
      <c r="A292" s="32">
        <v>415</v>
      </c>
      <c r="AJ292">
        <v>114</v>
      </c>
      <c r="AK292">
        <v>17</v>
      </c>
      <c r="AL292">
        <v>16</v>
      </c>
      <c r="AM292" s="30">
        <v>19</v>
      </c>
    </row>
    <row r="293" spans="1:49" x14ac:dyDescent="0.25">
      <c r="A293" s="32">
        <v>420</v>
      </c>
      <c r="AJ293">
        <v>115</v>
      </c>
      <c r="AK293">
        <v>35</v>
      </c>
      <c r="AL293" s="30">
        <v>19</v>
      </c>
    </row>
    <row r="294" spans="1:49" x14ac:dyDescent="0.25">
      <c r="A294" s="32">
        <v>425</v>
      </c>
      <c r="AJ294">
        <v>116</v>
      </c>
      <c r="AK294">
        <v>17</v>
      </c>
      <c r="AL294">
        <v>19</v>
      </c>
      <c r="AM294" s="30">
        <v>22</v>
      </c>
    </row>
    <row r="295" spans="1:49" x14ac:dyDescent="0.25">
      <c r="A295" s="32">
        <v>430</v>
      </c>
      <c r="AJ295">
        <v>117</v>
      </c>
      <c r="AK295">
        <v>35</v>
      </c>
      <c r="AL295" s="30">
        <v>22</v>
      </c>
    </row>
    <row r="296" spans="1:49" x14ac:dyDescent="0.25">
      <c r="A296" s="32">
        <v>435</v>
      </c>
      <c r="AJ296">
        <v>118</v>
      </c>
      <c r="AK296">
        <v>17</v>
      </c>
      <c r="AL296">
        <v>22</v>
      </c>
      <c r="AM296" s="30">
        <v>25</v>
      </c>
    </row>
    <row r="297" spans="1:49" x14ac:dyDescent="0.25">
      <c r="A297" s="32">
        <v>440</v>
      </c>
      <c r="AJ297">
        <v>119</v>
      </c>
      <c r="AK297">
        <v>35</v>
      </c>
      <c r="AL297" s="30">
        <v>25</v>
      </c>
    </row>
    <row r="298" spans="1:49" x14ac:dyDescent="0.25">
      <c r="A298" s="32">
        <v>445</v>
      </c>
      <c r="AJ298">
        <v>120</v>
      </c>
      <c r="AK298">
        <v>17</v>
      </c>
      <c r="AL298">
        <v>25</v>
      </c>
      <c r="AM298" s="30">
        <v>28</v>
      </c>
    </row>
    <row r="299" spans="1:49" x14ac:dyDescent="0.25">
      <c r="A299" s="32">
        <v>450</v>
      </c>
      <c r="AJ299">
        <v>121</v>
      </c>
      <c r="AK299">
        <v>35</v>
      </c>
      <c r="AL299" s="30">
        <v>28</v>
      </c>
    </row>
    <row r="300" spans="1:49" x14ac:dyDescent="0.25">
      <c r="A300" s="32">
        <v>455</v>
      </c>
      <c r="AJ300">
        <v>122</v>
      </c>
      <c r="AK300">
        <v>17</v>
      </c>
      <c r="AL300">
        <v>28</v>
      </c>
      <c r="AM300" s="30">
        <v>31</v>
      </c>
    </row>
    <row r="301" spans="1:49" x14ac:dyDescent="0.25">
      <c r="A301" s="32">
        <v>460</v>
      </c>
      <c r="AJ301">
        <v>123</v>
      </c>
      <c r="AK301">
        <v>35</v>
      </c>
      <c r="AL301" s="30">
        <v>31</v>
      </c>
    </row>
    <row r="302" spans="1:49" x14ac:dyDescent="0.25">
      <c r="A302" s="32">
        <v>465</v>
      </c>
      <c r="AJ302">
        <v>124</v>
      </c>
      <c r="AK302">
        <v>17</v>
      </c>
      <c r="AL302">
        <v>31</v>
      </c>
      <c r="AM302" s="30">
        <v>34</v>
      </c>
    </row>
    <row r="303" spans="1:49" x14ac:dyDescent="0.25">
      <c r="A303" s="32">
        <v>470</v>
      </c>
      <c r="AJ303">
        <v>125</v>
      </c>
      <c r="AK303">
        <v>35</v>
      </c>
      <c r="AL303" s="30">
        <v>34</v>
      </c>
    </row>
    <row r="304" spans="1:49" x14ac:dyDescent="0.25">
      <c r="A304" s="32">
        <v>475</v>
      </c>
      <c r="AJ304">
        <v>126</v>
      </c>
      <c r="AK304">
        <v>2</v>
      </c>
      <c r="AL304">
        <v>1</v>
      </c>
      <c r="AM304">
        <v>4</v>
      </c>
      <c r="AN304">
        <v>7</v>
      </c>
      <c r="AO304">
        <v>10</v>
      </c>
      <c r="AP304">
        <v>13</v>
      </c>
      <c r="AQ304">
        <v>16</v>
      </c>
      <c r="AR304">
        <v>19</v>
      </c>
      <c r="AS304">
        <v>22</v>
      </c>
      <c r="AT304">
        <v>25</v>
      </c>
      <c r="AU304">
        <v>28</v>
      </c>
      <c r="AV304">
        <v>31</v>
      </c>
      <c r="AW304" s="30">
        <v>34</v>
      </c>
    </row>
    <row r="305" spans="1:43" x14ac:dyDescent="0.25">
      <c r="A305" s="32">
        <v>480</v>
      </c>
      <c r="AJ305">
        <v>127</v>
      </c>
      <c r="AK305">
        <v>8</v>
      </c>
      <c r="AL305">
        <v>0</v>
      </c>
      <c r="AM305">
        <v>1</v>
      </c>
      <c r="AN305">
        <v>2</v>
      </c>
      <c r="AO305" s="30">
        <v>3</v>
      </c>
    </row>
    <row r="306" spans="1:43" x14ac:dyDescent="0.25">
      <c r="A306" s="32">
        <v>485</v>
      </c>
      <c r="AJ306">
        <v>128</v>
      </c>
      <c r="AK306">
        <v>11</v>
      </c>
      <c r="AL306">
        <v>1</v>
      </c>
      <c r="AM306">
        <v>2</v>
      </c>
      <c r="AN306" s="30">
        <v>3</v>
      </c>
    </row>
    <row r="307" spans="1:43" x14ac:dyDescent="0.25">
      <c r="A307" s="32">
        <v>490</v>
      </c>
      <c r="AJ307">
        <v>129</v>
      </c>
      <c r="AK307">
        <v>5</v>
      </c>
      <c r="AL307">
        <v>1</v>
      </c>
      <c r="AM307">
        <v>2</v>
      </c>
      <c r="AN307">
        <v>3</v>
      </c>
      <c r="AO307">
        <v>4</v>
      </c>
      <c r="AP307">
        <v>5</v>
      </c>
      <c r="AQ307" s="30">
        <v>6</v>
      </c>
    </row>
    <row r="308" spans="1:43" x14ac:dyDescent="0.25">
      <c r="A308" s="32">
        <v>495</v>
      </c>
      <c r="AJ308">
        <v>130</v>
      </c>
      <c r="AK308">
        <v>11</v>
      </c>
      <c r="AL308">
        <v>4</v>
      </c>
      <c r="AM308">
        <v>5</v>
      </c>
      <c r="AN308" s="30">
        <v>6</v>
      </c>
    </row>
    <row r="309" spans="1:43" x14ac:dyDescent="0.25">
      <c r="A309" s="32">
        <v>500</v>
      </c>
      <c r="AJ309">
        <v>131</v>
      </c>
      <c r="AK309">
        <v>5</v>
      </c>
      <c r="AL309">
        <v>4</v>
      </c>
      <c r="AM309">
        <v>5</v>
      </c>
      <c r="AN309">
        <v>6</v>
      </c>
      <c r="AO309">
        <v>7</v>
      </c>
      <c r="AP309">
        <v>8</v>
      </c>
      <c r="AQ309" s="30">
        <v>9</v>
      </c>
    </row>
    <row r="310" spans="1:43" x14ac:dyDescent="0.25">
      <c r="A310" s="32" t="s">
        <v>42</v>
      </c>
      <c r="AJ310">
        <v>132</v>
      </c>
      <c r="AK310">
        <v>11</v>
      </c>
      <c r="AL310">
        <v>7</v>
      </c>
      <c r="AM310">
        <v>8</v>
      </c>
      <c r="AN310" s="30">
        <v>9</v>
      </c>
    </row>
    <row r="311" spans="1:43" x14ac:dyDescent="0.25">
      <c r="A311" s="32" t="s">
        <v>43</v>
      </c>
      <c r="AJ311">
        <v>133</v>
      </c>
      <c r="AK311">
        <v>5</v>
      </c>
      <c r="AL311">
        <v>7</v>
      </c>
      <c r="AM311">
        <v>8</v>
      </c>
      <c r="AN311">
        <v>9</v>
      </c>
      <c r="AO311">
        <v>10</v>
      </c>
      <c r="AP311">
        <v>11</v>
      </c>
      <c r="AQ311" s="30">
        <v>12</v>
      </c>
    </row>
    <row r="312" spans="1:43" x14ac:dyDescent="0.25">
      <c r="AJ312">
        <v>134</v>
      </c>
      <c r="AK312">
        <v>11</v>
      </c>
      <c r="AL312">
        <v>10</v>
      </c>
      <c r="AM312">
        <v>11</v>
      </c>
      <c r="AN312" s="30">
        <v>12</v>
      </c>
    </row>
    <row r="313" spans="1:43" x14ac:dyDescent="0.25">
      <c r="AJ313">
        <v>135</v>
      </c>
      <c r="AK313">
        <v>5</v>
      </c>
      <c r="AL313">
        <v>10</v>
      </c>
      <c r="AM313">
        <v>11</v>
      </c>
      <c r="AN313">
        <v>12</v>
      </c>
      <c r="AO313">
        <v>13</v>
      </c>
      <c r="AP313">
        <v>14</v>
      </c>
      <c r="AQ313" s="30">
        <v>15</v>
      </c>
    </row>
    <row r="314" spans="1:43" x14ac:dyDescent="0.25">
      <c r="AJ314">
        <v>136</v>
      </c>
      <c r="AK314">
        <v>11</v>
      </c>
      <c r="AL314">
        <v>13</v>
      </c>
      <c r="AM314">
        <v>14</v>
      </c>
      <c r="AN314" s="30">
        <v>15</v>
      </c>
    </row>
    <row r="315" spans="1:43" x14ac:dyDescent="0.25">
      <c r="AJ315">
        <v>137</v>
      </c>
      <c r="AK315">
        <v>5</v>
      </c>
      <c r="AL315">
        <v>13</v>
      </c>
      <c r="AM315">
        <v>14</v>
      </c>
      <c r="AN315">
        <v>15</v>
      </c>
      <c r="AO315">
        <v>16</v>
      </c>
      <c r="AP315">
        <v>17</v>
      </c>
      <c r="AQ315" s="30">
        <v>18</v>
      </c>
    </row>
    <row r="316" spans="1:43" x14ac:dyDescent="0.25">
      <c r="AJ316">
        <v>138</v>
      </c>
      <c r="AK316">
        <v>11</v>
      </c>
      <c r="AL316">
        <v>16</v>
      </c>
      <c r="AM316">
        <v>17</v>
      </c>
      <c r="AN316" s="30">
        <v>18</v>
      </c>
    </row>
    <row r="317" spans="1:43" x14ac:dyDescent="0.25">
      <c r="AJ317">
        <v>139</v>
      </c>
      <c r="AK317">
        <v>5</v>
      </c>
      <c r="AL317">
        <v>16</v>
      </c>
      <c r="AM317">
        <v>17</v>
      </c>
      <c r="AN317">
        <v>18</v>
      </c>
      <c r="AO317">
        <v>19</v>
      </c>
      <c r="AP317">
        <v>20</v>
      </c>
      <c r="AQ317" s="30">
        <v>21</v>
      </c>
    </row>
    <row r="318" spans="1:43" x14ac:dyDescent="0.25">
      <c r="AJ318">
        <v>140</v>
      </c>
      <c r="AK318">
        <v>11</v>
      </c>
      <c r="AL318">
        <v>19</v>
      </c>
      <c r="AM318">
        <v>20</v>
      </c>
      <c r="AN318" s="30">
        <v>21</v>
      </c>
    </row>
    <row r="319" spans="1:43" x14ac:dyDescent="0.25">
      <c r="AJ319">
        <v>141</v>
      </c>
      <c r="AK319">
        <v>5</v>
      </c>
      <c r="AL319">
        <v>19</v>
      </c>
      <c r="AM319">
        <v>20</v>
      </c>
      <c r="AN319">
        <v>21</v>
      </c>
      <c r="AO319">
        <v>22</v>
      </c>
      <c r="AP319">
        <v>23</v>
      </c>
      <c r="AQ319" s="30">
        <v>24</v>
      </c>
    </row>
    <row r="320" spans="1:43" x14ac:dyDescent="0.25">
      <c r="AJ320">
        <v>142</v>
      </c>
      <c r="AK320">
        <v>11</v>
      </c>
      <c r="AL320">
        <v>22</v>
      </c>
      <c r="AM320">
        <v>23</v>
      </c>
      <c r="AN320" s="30">
        <v>24</v>
      </c>
    </row>
    <row r="321" spans="36:61" x14ac:dyDescent="0.25">
      <c r="AJ321">
        <v>143</v>
      </c>
      <c r="AK321">
        <v>5</v>
      </c>
      <c r="AL321">
        <v>22</v>
      </c>
      <c r="AM321">
        <v>23</v>
      </c>
      <c r="AN321">
        <v>24</v>
      </c>
      <c r="AO321">
        <v>25</v>
      </c>
      <c r="AP321">
        <v>26</v>
      </c>
      <c r="AQ321" s="30">
        <v>27</v>
      </c>
    </row>
    <row r="322" spans="36:61" x14ac:dyDescent="0.25">
      <c r="AJ322">
        <v>144</v>
      </c>
      <c r="AK322">
        <v>11</v>
      </c>
      <c r="AL322">
        <v>25</v>
      </c>
      <c r="AM322">
        <v>26</v>
      </c>
      <c r="AN322" s="30">
        <v>27</v>
      </c>
    </row>
    <row r="323" spans="36:61" x14ac:dyDescent="0.25">
      <c r="AJ323">
        <v>145</v>
      </c>
      <c r="AK323">
        <v>5</v>
      </c>
      <c r="AL323">
        <v>25</v>
      </c>
      <c r="AM323">
        <v>26</v>
      </c>
      <c r="AN323">
        <v>27</v>
      </c>
      <c r="AO323">
        <v>28</v>
      </c>
      <c r="AP323">
        <v>29</v>
      </c>
      <c r="AQ323" s="30">
        <v>30</v>
      </c>
    </row>
    <row r="324" spans="36:61" x14ac:dyDescent="0.25">
      <c r="AJ324">
        <v>146</v>
      </c>
      <c r="AK324">
        <v>11</v>
      </c>
      <c r="AL324">
        <v>28</v>
      </c>
      <c r="AM324">
        <v>29</v>
      </c>
      <c r="AN324" s="30">
        <v>30</v>
      </c>
    </row>
    <row r="325" spans="36:61" x14ac:dyDescent="0.25">
      <c r="AJ325">
        <v>147</v>
      </c>
      <c r="AK325">
        <v>5</v>
      </c>
      <c r="AL325">
        <v>28</v>
      </c>
      <c r="AM325">
        <v>29</v>
      </c>
      <c r="AN325">
        <v>30</v>
      </c>
      <c r="AO325">
        <v>31</v>
      </c>
      <c r="AP325">
        <v>32</v>
      </c>
      <c r="AQ325" s="30">
        <v>33</v>
      </c>
    </row>
    <row r="326" spans="36:61" x14ac:dyDescent="0.25">
      <c r="AJ326">
        <v>148</v>
      </c>
      <c r="AK326">
        <v>11</v>
      </c>
      <c r="AL326">
        <v>31</v>
      </c>
      <c r="AM326">
        <v>32</v>
      </c>
      <c r="AN326" s="30">
        <v>33</v>
      </c>
    </row>
    <row r="327" spans="36:61" x14ac:dyDescent="0.25">
      <c r="AJ327">
        <v>149</v>
      </c>
      <c r="AK327">
        <v>5</v>
      </c>
      <c r="AL327">
        <v>31</v>
      </c>
      <c r="AM327">
        <v>32</v>
      </c>
      <c r="AN327">
        <v>33</v>
      </c>
      <c r="AO327">
        <v>34</v>
      </c>
      <c r="AP327">
        <v>35</v>
      </c>
      <c r="AQ327" s="30">
        <v>36</v>
      </c>
    </row>
    <row r="328" spans="36:61" x14ac:dyDescent="0.25">
      <c r="AJ328">
        <v>150</v>
      </c>
      <c r="AK328">
        <v>11</v>
      </c>
      <c r="AL328">
        <v>34</v>
      </c>
      <c r="AM328">
        <v>35</v>
      </c>
      <c r="AN328" s="30">
        <v>36</v>
      </c>
    </row>
    <row r="329" spans="36:61" x14ac:dyDescent="0.25">
      <c r="AJ329">
        <v>151</v>
      </c>
      <c r="AK329">
        <v>2</v>
      </c>
      <c r="AL329">
        <v>1</v>
      </c>
      <c r="AM329">
        <v>2</v>
      </c>
      <c r="AN329">
        <v>3</v>
      </c>
      <c r="AO329">
        <v>4</v>
      </c>
      <c r="AP329">
        <v>5</v>
      </c>
      <c r="AQ329">
        <v>6</v>
      </c>
      <c r="AR329">
        <v>7</v>
      </c>
      <c r="AS329">
        <v>8</v>
      </c>
      <c r="AT329">
        <v>9</v>
      </c>
      <c r="AU329">
        <v>10</v>
      </c>
      <c r="AV329">
        <v>11</v>
      </c>
      <c r="AW329" s="30">
        <v>12</v>
      </c>
    </row>
    <row r="330" spans="36:61" x14ac:dyDescent="0.25">
      <c r="AJ330">
        <v>152</v>
      </c>
      <c r="AK330">
        <v>0.5</v>
      </c>
      <c r="AL330">
        <v>1</v>
      </c>
      <c r="AM330">
        <v>2</v>
      </c>
      <c r="AN330">
        <v>3</v>
      </c>
      <c r="AO330">
        <v>4</v>
      </c>
      <c r="AP330">
        <v>5</v>
      </c>
      <c r="AQ330">
        <v>6</v>
      </c>
      <c r="AR330">
        <v>7</v>
      </c>
      <c r="AS330">
        <v>8</v>
      </c>
      <c r="AT330">
        <v>9</v>
      </c>
      <c r="AU330">
        <v>10</v>
      </c>
      <c r="AV330">
        <v>11</v>
      </c>
      <c r="AW330">
        <v>12</v>
      </c>
      <c r="AX330">
        <v>13</v>
      </c>
      <c r="AY330">
        <v>14</v>
      </c>
      <c r="AZ330">
        <v>15</v>
      </c>
      <c r="BA330">
        <v>16</v>
      </c>
      <c r="BB330">
        <v>17</v>
      </c>
      <c r="BC330">
        <v>18</v>
      </c>
      <c r="BD330">
        <v>19</v>
      </c>
      <c r="BE330">
        <v>20</v>
      </c>
      <c r="BF330">
        <v>21</v>
      </c>
      <c r="BG330">
        <v>22</v>
      </c>
      <c r="BH330">
        <v>23</v>
      </c>
      <c r="BI330" s="30">
        <v>24</v>
      </c>
    </row>
    <row r="331" spans="36:61" x14ac:dyDescent="0.25">
      <c r="AJ331">
        <v>153</v>
      </c>
      <c r="AK331">
        <v>2</v>
      </c>
      <c r="AL331">
        <v>13</v>
      </c>
      <c r="AM331">
        <v>14</v>
      </c>
      <c r="AN331">
        <v>15</v>
      </c>
      <c r="AO331">
        <v>16</v>
      </c>
      <c r="AP331">
        <v>17</v>
      </c>
      <c r="AQ331">
        <v>18</v>
      </c>
      <c r="AR331">
        <v>19</v>
      </c>
      <c r="AS331">
        <v>20</v>
      </c>
      <c r="AT331">
        <v>21</v>
      </c>
      <c r="AU331">
        <v>22</v>
      </c>
      <c r="AV331">
        <v>23</v>
      </c>
      <c r="AW331" s="30">
        <v>24</v>
      </c>
    </row>
    <row r="332" spans="36:61" x14ac:dyDescent="0.25">
      <c r="AJ332">
        <v>154</v>
      </c>
      <c r="AK332">
        <v>0.5</v>
      </c>
      <c r="AL332">
        <v>13</v>
      </c>
      <c r="AM332">
        <v>14</v>
      </c>
      <c r="AN332">
        <v>15</v>
      </c>
      <c r="AO332">
        <v>16</v>
      </c>
      <c r="AP332">
        <v>17</v>
      </c>
      <c r="AQ332">
        <v>18</v>
      </c>
      <c r="AR332">
        <v>19</v>
      </c>
      <c r="AS332">
        <v>20</v>
      </c>
      <c r="AT332">
        <v>21</v>
      </c>
      <c r="AU332">
        <v>22</v>
      </c>
      <c r="AV332">
        <v>23</v>
      </c>
      <c r="AW332">
        <v>24</v>
      </c>
      <c r="AX332">
        <v>25</v>
      </c>
      <c r="AY332">
        <v>26</v>
      </c>
      <c r="AZ332">
        <v>27</v>
      </c>
      <c r="BA332">
        <v>28</v>
      </c>
      <c r="BB332">
        <v>29</v>
      </c>
      <c r="BC332">
        <v>30</v>
      </c>
      <c r="BD332">
        <v>31</v>
      </c>
      <c r="BE332">
        <v>32</v>
      </c>
      <c r="BF332">
        <v>33</v>
      </c>
      <c r="BG332">
        <v>34</v>
      </c>
      <c r="BH332">
        <v>35</v>
      </c>
      <c r="BI332" s="30">
        <v>36</v>
      </c>
    </row>
    <row r="333" spans="36:61" x14ac:dyDescent="0.25">
      <c r="AJ333">
        <v>155</v>
      </c>
      <c r="AK333">
        <v>2</v>
      </c>
      <c r="AL333">
        <v>25</v>
      </c>
      <c r="AM333">
        <v>26</v>
      </c>
      <c r="AN333">
        <v>27</v>
      </c>
      <c r="AO333">
        <v>28</v>
      </c>
      <c r="AP333">
        <v>29</v>
      </c>
      <c r="AQ333">
        <v>30</v>
      </c>
      <c r="AR333">
        <v>31</v>
      </c>
      <c r="AS333">
        <v>32</v>
      </c>
      <c r="AT333">
        <v>33</v>
      </c>
      <c r="AU333">
        <v>34</v>
      </c>
      <c r="AV333">
        <v>35</v>
      </c>
      <c r="AW333" s="30">
        <v>36</v>
      </c>
    </row>
    <row r="334" spans="36:61" x14ac:dyDescent="0.25">
      <c r="AJ334">
        <v>156</v>
      </c>
      <c r="AK334">
        <v>1</v>
      </c>
      <c r="AL334">
        <v>1</v>
      </c>
      <c r="AM334">
        <v>2</v>
      </c>
      <c r="AN334">
        <v>3</v>
      </c>
      <c r="AO334">
        <v>4</v>
      </c>
      <c r="AP334">
        <v>5</v>
      </c>
      <c r="AQ334">
        <v>6</v>
      </c>
      <c r="AR334">
        <v>7</v>
      </c>
      <c r="AS334">
        <v>8</v>
      </c>
      <c r="AT334">
        <v>9</v>
      </c>
      <c r="AU334">
        <v>10</v>
      </c>
      <c r="AV334">
        <v>11</v>
      </c>
      <c r="AW334">
        <v>12</v>
      </c>
      <c r="AX334">
        <v>13</v>
      </c>
      <c r="AY334">
        <v>14</v>
      </c>
      <c r="AZ334">
        <v>15</v>
      </c>
      <c r="BA334">
        <v>16</v>
      </c>
      <c r="BB334">
        <v>17</v>
      </c>
      <c r="BC334" s="30">
        <v>18</v>
      </c>
    </row>
    <row r="335" spans="36:61" x14ac:dyDescent="0.25">
      <c r="AJ335">
        <v>157</v>
      </c>
      <c r="AK335">
        <v>1</v>
      </c>
      <c r="AL335">
        <v>2</v>
      </c>
      <c r="AM335">
        <v>4</v>
      </c>
      <c r="AN335">
        <v>6</v>
      </c>
      <c r="AO335">
        <v>8</v>
      </c>
      <c r="AP335">
        <v>10</v>
      </c>
      <c r="AQ335">
        <v>12</v>
      </c>
      <c r="AR335">
        <v>14</v>
      </c>
      <c r="AS335">
        <v>16</v>
      </c>
      <c r="AT335">
        <v>18</v>
      </c>
      <c r="AU335">
        <v>20</v>
      </c>
      <c r="AV335">
        <v>22</v>
      </c>
      <c r="AW335">
        <v>24</v>
      </c>
      <c r="AX335">
        <v>26</v>
      </c>
      <c r="AY335">
        <v>28</v>
      </c>
      <c r="AZ335">
        <v>30</v>
      </c>
      <c r="BA335">
        <v>32</v>
      </c>
      <c r="BB335">
        <v>34</v>
      </c>
      <c r="BC335" s="30">
        <v>36</v>
      </c>
    </row>
    <row r="336" spans="36:61" x14ac:dyDescent="0.25">
      <c r="AJ336">
        <v>158</v>
      </c>
      <c r="AK336">
        <v>1</v>
      </c>
      <c r="AL336">
        <v>1</v>
      </c>
      <c r="AM336">
        <v>3</v>
      </c>
      <c r="AN336">
        <v>5</v>
      </c>
      <c r="AO336">
        <v>7</v>
      </c>
      <c r="AP336">
        <v>9</v>
      </c>
      <c r="AQ336">
        <v>12</v>
      </c>
      <c r="AR336">
        <v>14</v>
      </c>
      <c r="AS336">
        <v>16</v>
      </c>
      <c r="AT336">
        <v>18</v>
      </c>
      <c r="AU336">
        <v>19</v>
      </c>
      <c r="AV336">
        <v>21</v>
      </c>
      <c r="AW336">
        <v>23</v>
      </c>
      <c r="AX336">
        <v>25</v>
      </c>
      <c r="AY336">
        <v>27</v>
      </c>
      <c r="AZ336">
        <v>30</v>
      </c>
      <c r="BA336">
        <v>32</v>
      </c>
      <c r="BB336">
        <v>34</v>
      </c>
      <c r="BC336" s="30">
        <v>36</v>
      </c>
    </row>
    <row r="337" spans="36:55" x14ac:dyDescent="0.25">
      <c r="AJ337">
        <v>159</v>
      </c>
      <c r="AK337">
        <v>1</v>
      </c>
      <c r="AL337">
        <v>2</v>
      </c>
      <c r="AM337">
        <v>4</v>
      </c>
      <c r="AN337">
        <v>6</v>
      </c>
      <c r="AO337">
        <v>8</v>
      </c>
      <c r="AP337">
        <v>10</v>
      </c>
      <c r="AQ337">
        <v>11</v>
      </c>
      <c r="AR337">
        <v>13</v>
      </c>
      <c r="AS337">
        <v>15</v>
      </c>
      <c r="AT337">
        <v>17</v>
      </c>
      <c r="AU337">
        <v>20</v>
      </c>
      <c r="AV337">
        <v>22</v>
      </c>
      <c r="AW337">
        <v>24</v>
      </c>
      <c r="AX337">
        <v>26</v>
      </c>
      <c r="AY337">
        <v>28</v>
      </c>
      <c r="AZ337">
        <v>29</v>
      </c>
      <c r="BA337">
        <v>31</v>
      </c>
      <c r="BB337">
        <v>33</v>
      </c>
      <c r="BC337" s="30">
        <v>35</v>
      </c>
    </row>
    <row r="338" spans="36:55" x14ac:dyDescent="0.25">
      <c r="AJ338">
        <v>160</v>
      </c>
      <c r="AK338">
        <v>1</v>
      </c>
      <c r="AL338">
        <v>1</v>
      </c>
      <c r="AM338">
        <v>3</v>
      </c>
      <c r="AN338">
        <v>5</v>
      </c>
      <c r="AO338">
        <v>7</v>
      </c>
      <c r="AP338">
        <v>9</v>
      </c>
      <c r="AQ338">
        <v>11</v>
      </c>
      <c r="AR338">
        <v>13</v>
      </c>
      <c r="AS338">
        <v>15</v>
      </c>
      <c r="AT338">
        <v>17</v>
      </c>
      <c r="AU338">
        <v>19</v>
      </c>
      <c r="AV338">
        <v>21</v>
      </c>
      <c r="AW338">
        <v>23</v>
      </c>
      <c r="AX338">
        <v>25</v>
      </c>
      <c r="AY338">
        <v>27</v>
      </c>
      <c r="AZ338">
        <v>29</v>
      </c>
      <c r="BA338">
        <v>31</v>
      </c>
      <c r="BB338">
        <v>33</v>
      </c>
      <c r="BC338" s="30">
        <v>35</v>
      </c>
    </row>
    <row r="339" spans="36:55" x14ac:dyDescent="0.25">
      <c r="AJ339">
        <v>161</v>
      </c>
      <c r="AK339">
        <v>1</v>
      </c>
      <c r="AL339">
        <v>19</v>
      </c>
      <c r="AM339">
        <v>20</v>
      </c>
      <c r="AN339">
        <v>21</v>
      </c>
      <c r="AO339">
        <v>22</v>
      </c>
      <c r="AP339">
        <v>23</v>
      </c>
      <c r="AQ339">
        <v>24</v>
      </c>
      <c r="AR339">
        <v>25</v>
      </c>
      <c r="AS339">
        <v>26</v>
      </c>
      <c r="AT339">
        <v>27</v>
      </c>
      <c r="AU339">
        <v>28</v>
      </c>
      <c r="AV339">
        <v>29</v>
      </c>
      <c r="AW339">
        <v>30</v>
      </c>
      <c r="AX339">
        <v>31</v>
      </c>
      <c r="AY339">
        <v>32</v>
      </c>
      <c r="AZ339">
        <v>33</v>
      </c>
      <c r="BA339">
        <v>34</v>
      </c>
      <c r="BB339">
        <v>35</v>
      </c>
      <c r="BC339" s="30">
        <v>36</v>
      </c>
    </row>
  </sheetData>
  <autoFilter ref="AJ178:BI339"/>
  <mergeCells count="18">
    <mergeCell ref="AL1:BI1"/>
    <mergeCell ref="AL172:BI172"/>
    <mergeCell ref="AL164:BI164"/>
    <mergeCell ref="AL156:BI156"/>
    <mergeCell ref="AL143:BI143"/>
    <mergeCell ref="AL118:BI118"/>
    <mergeCell ref="AL102:BI102"/>
    <mergeCell ref="AL40:BI40"/>
    <mergeCell ref="B12:B17"/>
    <mergeCell ref="L18:R18"/>
    <mergeCell ref="T18:Z18"/>
    <mergeCell ref="X19:Z19"/>
    <mergeCell ref="T19:V19"/>
    <mergeCell ref="P19:R19"/>
    <mergeCell ref="L19:N19"/>
    <mergeCell ref="H19:J19"/>
    <mergeCell ref="D19:F19"/>
    <mergeCell ref="D18:J18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37</vt:i4>
      </vt:variant>
    </vt:vector>
  </HeadingPairs>
  <TitlesOfParts>
    <vt:vector size="39" baseType="lpstr">
      <vt:lpstr>Ruleta</vt:lpstr>
      <vt:lpstr>Hoja1</vt:lpstr>
      <vt:lpstr>analizar_jugada_humana</vt:lpstr>
      <vt:lpstr>apuesta</vt:lpstr>
      <vt:lpstr>apuesta_1</vt:lpstr>
      <vt:lpstr>apuesta_12</vt:lpstr>
      <vt:lpstr>apuesta_18</vt:lpstr>
      <vt:lpstr>apuesta_2</vt:lpstr>
      <vt:lpstr>apuesta_24</vt:lpstr>
      <vt:lpstr>apuesta_3</vt:lpstr>
      <vt:lpstr>apuesta_4</vt:lpstr>
      <vt:lpstr>apuesta_6</vt:lpstr>
      <vt:lpstr>apuestas_posibles</vt:lpstr>
      <vt:lpstr>capital_actual</vt:lpstr>
      <vt:lpstr>color</vt:lpstr>
      <vt:lpstr>Fin</vt:lpstr>
      <vt:lpstr>generacion</vt:lpstr>
      <vt:lpstr>histograma</vt:lpstr>
      <vt:lpstr>humano</vt:lpstr>
      <vt:lpstr>Inicio</vt:lpstr>
      <vt:lpstr>mapeo_apuestas</vt:lpstr>
      <vt:lpstr>matriz_beneficio_medio</vt:lpstr>
      <vt:lpstr>matriz_num_jugadas_beneficio</vt:lpstr>
      <vt:lpstr>matriz_num_jugadas_pda</vt:lpstr>
      <vt:lpstr>matriz_pda_max</vt:lpstr>
      <vt:lpstr>matriz_pda_media</vt:lpstr>
      <vt:lpstr>matriz_rdo</vt:lpstr>
      <vt:lpstr>matriz_rozamiento</vt:lpstr>
      <vt:lpstr>num_mas_frecuentes</vt:lpstr>
      <vt:lpstr>numero</vt:lpstr>
      <vt:lpstr>perfil_riesgo_bonito</vt:lpstr>
      <vt:lpstr>porcentaje_ruleta_beneficios</vt:lpstr>
      <vt:lpstr>porcentaje_ruleta_cero</vt:lpstr>
      <vt:lpstr>porcentaje_ruleta_perdidas</vt:lpstr>
      <vt:lpstr>prob_ocurrencia</vt:lpstr>
      <vt:lpstr>rangos_histograma</vt:lpstr>
      <vt:lpstr>rdo_tirada</vt:lpstr>
      <vt:lpstr>ruleta</vt:lpstr>
      <vt:lpstr>tipo_ruleta</vt:lpstr>
    </vt:vector>
  </TitlesOfParts>
  <Company>BME Innova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Ignacio Larraz Luque</dc:creator>
  <cp:lastModifiedBy>Guillermo Meléndez</cp:lastModifiedBy>
  <dcterms:created xsi:type="dcterms:W3CDTF">2015-06-03T08:17:21Z</dcterms:created>
  <dcterms:modified xsi:type="dcterms:W3CDTF">2016-01-10T20:30:23Z</dcterms:modified>
</cp:coreProperties>
</file>